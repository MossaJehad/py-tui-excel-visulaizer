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or Everyone\Desktop\"/>
    </mc:Choice>
  </mc:AlternateContent>
  <xr:revisionPtr revIDLastSave="0" documentId="8_{AF15B4F2-6218-4C8C-BE59-61385CF9213B}" xr6:coauthVersionLast="47" xr6:coauthVersionMax="47" xr10:uidLastSave="{00000000-0000-0000-0000-000000000000}"/>
  <bookViews>
    <workbookView xWindow="-108" yWindow="-108" windowWidth="23256" windowHeight="13176" tabRatio="500" firstSheet="3" activeTab="5" xr2:uid="{00000000-000D-0000-FFFF-FFFF00000000}"/>
  </bookViews>
  <sheets>
    <sheet name="Data Overview" sheetId="1" r:id="rId1"/>
    <sheet name="Raw Data" sheetId="2" r:id="rId2"/>
    <sheet name="Clean Data" sheetId="3" r:id="rId3"/>
    <sheet name="Analysis" sheetId="4" r:id="rId4"/>
    <sheet name="Pivot_Analysis" sheetId="8" r:id="rId5"/>
    <sheet name="Dashboard" sheetId="6" r:id="rId6"/>
  </sheets>
  <calcPr calcId="191028" iterateDelta="1E-4"/>
  <pivotCaches>
    <pivotCache cacheId="1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6" l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B5" i="4" s="1"/>
  <c r="D14" i="6"/>
  <c r="B7" i="4"/>
  <c r="B6" i="2" a="1"/>
  <c r="B6" i="2" s="1"/>
  <c r="N15" i="3"/>
  <c r="M14" i="3"/>
  <c r="L13" i="3"/>
  <c r="K13" i="3"/>
  <c r="J22" i="3"/>
  <c r="J17" i="3" s="1"/>
  <c r="I87" i="3"/>
  <c r="I10" i="3" s="1"/>
  <c r="I7" i="3" s="1"/>
  <c r="H83" i="3"/>
  <c r="H37" i="3"/>
  <c r="C44" i="6"/>
  <c r="C43" i="6"/>
  <c r="D19" i="6"/>
  <c r="C19" i="6"/>
  <c r="C18" i="6"/>
  <c r="D17" i="6"/>
  <c r="C17" i="6"/>
  <c r="D16" i="6"/>
  <c r="C16" i="6"/>
  <c r="D15" i="6"/>
  <c r="C15" i="6"/>
  <c r="C14" i="6"/>
  <c r="D13" i="6"/>
  <c r="C13" i="6"/>
  <c r="B42" i="4"/>
  <c r="B38" i="4"/>
  <c r="B37" i="4"/>
  <c r="B24" i="4"/>
  <c r="B23" i="4"/>
  <c r="B22" i="4"/>
  <c r="B21" i="4"/>
  <c r="B20" i="4"/>
  <c r="B19" i="4"/>
  <c r="B15" i="4"/>
  <c r="B6" i="4"/>
  <c r="B6" i="6" l="1"/>
  <c r="B43" i="4"/>
  <c r="B8" i="4"/>
  <c r="F6" i="6" s="1"/>
  <c r="B39" i="4"/>
  <c r="B44" i="4"/>
  <c r="D18" i="6"/>
  <c r="B12" i="4"/>
  <c r="B11" i="4"/>
  <c r="B10" i="4"/>
  <c r="B9" i="4"/>
  <c r="B9" i="6" s="1"/>
  <c r="H9" i="3"/>
  <c r="B16" i="4" s="1"/>
  <c r="B13" i="4"/>
  <c r="B29" i="4"/>
  <c r="B28" i="4"/>
  <c r="B27" i="4"/>
  <c r="B14" i="4"/>
  <c r="K12" i="3"/>
  <c r="K4" i="3" s="1"/>
  <c r="B34" i="4"/>
  <c r="B32" i="4" l="1"/>
  <c r="B33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<sst xmlns="http://schemas.openxmlformats.org/spreadsheetml/2006/main" count="2283" uniqueCount="453">
  <si>
    <t>HR Dataset Overview</t>
  </si>
  <si>
    <t>Dataset Name:</t>
  </si>
  <si>
    <t>Employee HR Analytics Dataset</t>
  </si>
  <si>
    <t>Total Records:</t>
  </si>
  <si>
    <t>Number of Columns:</t>
  </si>
  <si>
    <t>Date Range:</t>
  </si>
  <si>
    <t>2019-01-16 to 2023-12-28</t>
  </si>
  <si>
    <t>Column Descriptions:</t>
  </si>
  <si>
    <t>Employee_ID</t>
  </si>
  <si>
    <t>Unique identifier for each employee</t>
  </si>
  <si>
    <t>Full_Name</t>
  </si>
  <si>
    <t>Employee full name</t>
  </si>
  <si>
    <t>Department</t>
  </si>
  <si>
    <t>Department where employee works</t>
  </si>
  <si>
    <t>Position</t>
  </si>
  <si>
    <t>Job title/position</t>
  </si>
  <si>
    <t>Location</t>
  </si>
  <si>
    <t>Work location (office or remote)</t>
  </si>
  <si>
    <t>Gender</t>
  </si>
  <si>
    <t>Employee gender</t>
  </si>
  <si>
    <t>Hire_Date</t>
  </si>
  <si>
    <t>Date when employee was hired</t>
  </si>
  <si>
    <t>Years_at_Company</t>
  </si>
  <si>
    <t>Tenure in years</t>
  </si>
  <si>
    <t>Annual_Salary</t>
  </si>
  <si>
    <t>Annual salary in USD</t>
  </si>
  <si>
    <t>Performance_Score</t>
  </si>
  <si>
    <t>Performance rating (1-5 scale)</t>
  </si>
  <si>
    <t>Training_Hours</t>
  </si>
  <si>
    <t>Annual training hours completed</t>
  </si>
  <si>
    <t>Overtime_Hours</t>
  </si>
  <si>
    <t>Monthly overtime hours</t>
  </si>
  <si>
    <t>Satisfaction_Score</t>
  </si>
  <si>
    <t>Employee satisfaction (1-10 scale)</t>
  </si>
  <si>
    <t>Projects_Completed</t>
  </si>
  <si>
    <t>Number of projects completed</t>
  </si>
  <si>
    <t>Status</t>
  </si>
  <si>
    <t>Employment status (Active/Left)</t>
  </si>
  <si>
    <t>Data Types:</t>
  </si>
  <si>
    <t>Text Fields</t>
  </si>
  <si>
    <t>Employee_ID, Full_Name, Department, Position, Location, Gender, Status</t>
  </si>
  <si>
    <t>Date Fields</t>
  </si>
  <si>
    <t>Numeric Fields</t>
  </si>
  <si>
    <t>Years_at_Company, Annual_Salary, Performance_Score, Training_Hours, Overtime_Hours, Satisfaction_Score, Projects_Completed</t>
  </si>
  <si>
    <t>Key Observations:</t>
  </si>
  <si>
    <t>Missing Values</t>
  </si>
  <si>
    <t>No missing values in this dataset</t>
  </si>
  <si>
    <t>Duplicates</t>
  </si>
  <si>
    <t>No duplicate Employee_IDs found</t>
  </si>
  <si>
    <t>Data Quality</t>
  </si>
  <si>
    <t>Clean and ready for analysis</t>
  </si>
  <si>
    <t>Emma Johnson</t>
  </si>
  <si>
    <t>Operations</t>
  </si>
  <si>
    <t>Operations Specialist</t>
  </si>
  <si>
    <t>Remote</t>
  </si>
  <si>
    <t>Male</t>
  </si>
  <si>
    <t>2019-02-21</t>
  </si>
  <si>
    <t>Active</t>
  </si>
  <si>
    <t>Finance</t>
  </si>
  <si>
    <t>Financial Analyst</t>
  </si>
  <si>
    <t>Female</t>
  </si>
  <si>
    <t>2019-03-07</t>
  </si>
  <si>
    <t>Sophia Martinez</t>
  </si>
  <si>
    <t>Marketing Manager</t>
  </si>
  <si>
    <t>Chicago</t>
  </si>
  <si>
    <t>2022-04-21</t>
  </si>
  <si>
    <t>Daniel Kim</t>
  </si>
  <si>
    <t>Marketing</t>
  </si>
  <si>
    <t>New York</t>
  </si>
  <si>
    <t>2019-07-29</t>
  </si>
  <si>
    <t>Accountant</t>
  </si>
  <si>
    <t>2021-02-14</t>
  </si>
  <si>
    <t>Michael O’Reilly</t>
  </si>
  <si>
    <t>2023-05-03</t>
  </si>
  <si>
    <t>Chloe Nguyen</t>
  </si>
  <si>
    <t>IT</t>
  </si>
  <si>
    <t>IT Manager</t>
  </si>
  <si>
    <t>Los Angeles</t>
  </si>
  <si>
    <t>Alejandro Torres</t>
  </si>
  <si>
    <t>HR</t>
  </si>
  <si>
    <t>HR Manager</t>
  </si>
  <si>
    <t>2020-07-06</t>
  </si>
  <si>
    <t>Haruto Tanaka</t>
  </si>
  <si>
    <t>Developer</t>
  </si>
  <si>
    <t>Houston</t>
  </si>
  <si>
    <t>2020-03-08</t>
  </si>
  <si>
    <t>Olivia Bennett</t>
  </si>
  <si>
    <t>IT Support</t>
  </si>
  <si>
    <t>2020-05-20</t>
  </si>
  <si>
    <t>Marcus Dupont</t>
  </si>
  <si>
    <t>Sales</t>
  </si>
  <si>
    <t>Sales Rep</t>
  </si>
  <si>
    <t>2023-10-30</t>
  </si>
  <si>
    <t>Grace Choi</t>
  </si>
  <si>
    <t>2021-12-19</t>
  </si>
  <si>
    <t>Ethan Patel</t>
  </si>
  <si>
    <t>Customer Service</t>
  </si>
  <si>
    <t>Team Lead</t>
  </si>
  <si>
    <t>2020-11-27</t>
  </si>
  <si>
    <t>Isabella Romano</t>
  </si>
  <si>
    <t>2023-11-18</t>
  </si>
  <si>
    <t>Lucas Andersen</t>
  </si>
  <si>
    <t>2021-09-27</t>
  </si>
  <si>
    <t>Natalie Brooks</t>
  </si>
  <si>
    <t>Sales Director</t>
  </si>
  <si>
    <t>2021-09-22</t>
  </si>
  <si>
    <t>Amir Khalil</t>
  </si>
  <si>
    <t>System Admin</t>
  </si>
  <si>
    <t>2020-03-09</t>
  </si>
  <si>
    <t>Zoe Richards</t>
  </si>
  <si>
    <t>2019-09-05</t>
  </si>
  <si>
    <t>Hugo Oliveira</t>
  </si>
  <si>
    <t>2022-07-16</t>
  </si>
  <si>
    <t>Mia Johansson</t>
  </si>
  <si>
    <t>Marketing Director</t>
  </si>
  <si>
    <t>2019-09-28</t>
  </si>
  <si>
    <t>Caleb Wright</t>
  </si>
  <si>
    <t>2021-04-21</t>
  </si>
  <si>
    <t>Left</t>
  </si>
  <si>
    <t>Hana Suzuki</t>
  </si>
  <si>
    <t>CS Rep</t>
  </si>
  <si>
    <t>2020-05-24</t>
  </si>
  <si>
    <t>Felix Müller</t>
  </si>
  <si>
    <t>Recruiter</t>
  </si>
  <si>
    <t>2019-07-20</t>
  </si>
  <si>
    <t>Layla Carter</t>
  </si>
  <si>
    <t>2021-09-12</t>
  </si>
  <si>
    <t>Noah Singh</t>
  </si>
  <si>
    <t>2022-11-27</t>
  </si>
  <si>
    <t>Valentina Costa</t>
  </si>
  <si>
    <t>Operations Manager</t>
  </si>
  <si>
    <t>2019-04-28</t>
  </si>
  <si>
    <t>Jacob Brown</t>
  </si>
  <si>
    <t>2019-05-21</t>
  </si>
  <si>
    <t>Emily Zhao</t>
  </si>
  <si>
    <t>2021-05-08</t>
  </si>
  <si>
    <t>Mateo Rivera</t>
  </si>
  <si>
    <t>2019-09-26</t>
  </si>
  <si>
    <t>Sofia Ivanova</t>
  </si>
  <si>
    <t>2021-11-02</t>
  </si>
  <si>
    <t>Benjamin Clark</t>
  </si>
  <si>
    <t>2022-12-11</t>
  </si>
  <si>
    <t>Priya Sharma</t>
  </si>
  <si>
    <t>2023-12-28</t>
  </si>
  <si>
    <t>Leo Moretti</t>
  </si>
  <si>
    <t>Logistics Coordinator</t>
  </si>
  <si>
    <t>2023-10-13</t>
  </si>
  <si>
    <t>Hannah Nguyen</t>
  </si>
  <si>
    <t>Sales Manager</t>
  </si>
  <si>
    <t>2023-04-29</t>
  </si>
  <si>
    <t>Victor Santos</t>
  </si>
  <si>
    <t>2023-12-14</t>
  </si>
  <si>
    <t>Ava Reynolds</t>
  </si>
  <si>
    <t>2021-01-02</t>
  </si>
  <si>
    <t>Elias Haddad</t>
  </si>
  <si>
    <t>2023-06-27</t>
  </si>
  <si>
    <t>Jasmine Cooper</t>
  </si>
  <si>
    <t>2023-06-01</t>
  </si>
  <si>
    <t>Chen Wei</t>
  </si>
  <si>
    <t>2020-04-01</t>
  </si>
  <si>
    <t>Grace Thompson</t>
  </si>
  <si>
    <t>2021-03-29</t>
  </si>
  <si>
    <t>Julian Park</t>
  </si>
  <si>
    <t>2021-06-08</t>
  </si>
  <si>
    <t>Aria Morales</t>
  </si>
  <si>
    <t>2022-12-22</t>
  </si>
  <si>
    <t>Omar Abdallah</t>
  </si>
  <si>
    <t>HR Specialist</t>
  </si>
  <si>
    <t>2022-09-22</t>
  </si>
  <si>
    <t>Clara Fischer</t>
  </si>
  <si>
    <t>2020-08-28</t>
  </si>
  <si>
    <t>William Hughes</t>
  </si>
  <si>
    <t>2023-09-04</t>
  </si>
  <si>
    <t>Mei Lin</t>
  </si>
  <si>
    <t>2020-03-13</t>
  </si>
  <si>
    <t>Jonathan Carter</t>
  </si>
  <si>
    <t>2022-10-09</t>
  </si>
  <si>
    <t>Fatima Youssef</t>
  </si>
  <si>
    <t>2023-12-20</t>
  </si>
  <si>
    <t>Diego Navarro</t>
  </si>
  <si>
    <t>CS Manager</t>
  </si>
  <si>
    <t>2020-03-24</t>
  </si>
  <si>
    <t>Alice Morgan</t>
  </si>
  <si>
    <t>2022-09-29</t>
  </si>
  <si>
    <t>Darius Petrescu</t>
  </si>
  <si>
    <t>2021-07-02</t>
  </si>
  <si>
    <t>Maya Lopez</t>
  </si>
  <si>
    <t>2020-07-16</t>
  </si>
  <si>
    <t>Isaac Cohen</t>
  </si>
  <si>
    <t>Marketing Specialist</t>
  </si>
  <si>
    <t>2020-04-18</t>
  </si>
  <si>
    <t>Leila Hassan</t>
  </si>
  <si>
    <t>2023-09-02</t>
  </si>
  <si>
    <t>Kai Rasmussen</t>
  </si>
  <si>
    <t>2020-12-21</t>
  </si>
  <si>
    <t>Talia Green</t>
  </si>
  <si>
    <t>2020-07-12</t>
  </si>
  <si>
    <t>Rohan Desai</t>
  </si>
  <si>
    <t>2021-12-29</t>
  </si>
  <si>
    <t>Camille Dubois</t>
  </si>
  <si>
    <t>2020-01-08</t>
  </si>
  <si>
    <t>Ryan Foster</t>
  </si>
  <si>
    <t>2020-05-31</t>
  </si>
  <si>
    <t>Jisoo Park</t>
  </si>
  <si>
    <t>2023-09-15</t>
  </si>
  <si>
    <t>Andre Costa</t>
  </si>
  <si>
    <t>2023-04-20</t>
  </si>
  <si>
    <t>Emily Wright</t>
  </si>
  <si>
    <t>2019-02-22</t>
  </si>
  <si>
    <t>Malik Johnson</t>
  </si>
  <si>
    <t>2023-10-08</t>
  </si>
  <si>
    <t>Freya Andersen</t>
  </si>
  <si>
    <t>Finance Manager</t>
  </si>
  <si>
    <t>2020-11-29</t>
  </si>
  <si>
    <t>Diego Fernández</t>
  </si>
  <si>
    <t>2023-02-11</t>
  </si>
  <si>
    <t>Saanvi Mehta</t>
  </si>
  <si>
    <t>2023-08-29</t>
  </si>
  <si>
    <t>Jack Wilson</t>
  </si>
  <si>
    <t>2023-10-09</t>
  </si>
  <si>
    <t>Elena Petrova</t>
  </si>
  <si>
    <t>2021-11-24</t>
  </si>
  <si>
    <t>Tomasz Kowalski</t>
  </si>
  <si>
    <t>2019-07-10</t>
  </si>
  <si>
    <t>Ruby Harris</t>
  </si>
  <si>
    <t>2022-02-01</t>
  </si>
  <si>
    <t>Abdul Rahman</t>
  </si>
  <si>
    <t>2022-01-02</t>
  </si>
  <si>
    <t>Chiara Rossi</t>
  </si>
  <si>
    <t>2020-08-29</t>
  </si>
  <si>
    <t>Oliver Stewart</t>
  </si>
  <si>
    <t>2022-11-29</t>
  </si>
  <si>
    <t>Nora Becker</t>
  </si>
  <si>
    <t>2019-04-16</t>
  </si>
  <si>
    <t>Luka Novak</t>
  </si>
  <si>
    <t>2023-07-20</t>
  </si>
  <si>
    <t>Emily Adams</t>
  </si>
  <si>
    <t>2021-02-18</t>
  </si>
  <si>
    <t>Ibrahim Mansour</t>
  </si>
  <si>
    <t>2019-07-23</t>
  </si>
  <si>
    <t>Chloe Robinson</t>
  </si>
  <si>
    <t>2021-04-16</t>
  </si>
  <si>
    <t>Adam Nowak</t>
  </si>
  <si>
    <t>2020-04-23</t>
  </si>
  <si>
    <t>Hana Ahmed</t>
  </si>
  <si>
    <t>2020-06-28</t>
  </si>
  <si>
    <t>Patrick Evans</t>
  </si>
  <si>
    <t>2021-08-17</t>
  </si>
  <si>
    <t>Keiko Watanabe</t>
  </si>
  <si>
    <t>2020-10-22</t>
  </si>
  <si>
    <t>Lucas Perez</t>
  </si>
  <si>
    <t>2023-04-12</t>
  </si>
  <si>
    <t>Naomi Cohen</t>
  </si>
  <si>
    <t>2020-12-13</t>
  </si>
  <si>
    <t>Amir Sadeghi</t>
  </si>
  <si>
    <t>2023-07-25</t>
  </si>
  <si>
    <t>Lila Stone</t>
  </si>
  <si>
    <t>2021-08-04</t>
  </si>
  <si>
    <t>Matteo Rinaldi</t>
  </si>
  <si>
    <t>2022-01-29</t>
  </si>
  <si>
    <t>Olivia Zhang</t>
  </si>
  <si>
    <t>2020-09-28</t>
  </si>
  <si>
    <t>Eric Campbell</t>
  </si>
  <si>
    <t>2020-08-20</t>
  </si>
  <si>
    <t>Farah Rahimi</t>
  </si>
  <si>
    <t>2022-05-12</t>
  </si>
  <si>
    <t>Nikhil Gupta</t>
  </si>
  <si>
    <t>2020-07-01</t>
  </si>
  <si>
    <t>Clara Jensen</t>
  </si>
  <si>
    <t>2021-09-18</t>
  </si>
  <si>
    <t>David Morales</t>
  </si>
  <si>
    <t>2019-03-31</t>
  </si>
  <si>
    <t>Yara Silva</t>
  </si>
  <si>
    <t>2022-04-23</t>
  </si>
  <si>
    <t>Ethan Walker</t>
  </si>
  <si>
    <t>2019-11-13</t>
  </si>
  <si>
    <t>Luna Delgado</t>
  </si>
  <si>
    <t>2023-10-26</t>
  </si>
  <si>
    <t>Victor Leblanc</t>
  </si>
  <si>
    <t>2020-04-25</t>
  </si>
  <si>
    <t>Naomi Tan</t>
  </si>
  <si>
    <t>2020-09-05</t>
  </si>
  <si>
    <t>Elijah Cooper</t>
  </si>
  <si>
    <t>2023-06-12</t>
  </si>
  <si>
    <t>Irene Dimitrova</t>
  </si>
  <si>
    <t>2022-07-30</t>
  </si>
  <si>
    <t>Carlos Mendes</t>
  </si>
  <si>
    <t>2022-04-18</t>
  </si>
  <si>
    <t>Ava Robinson</t>
  </si>
  <si>
    <t>2019-08-07</t>
  </si>
  <si>
    <t>Junjie Li</t>
  </si>
  <si>
    <t>2023-11-07</t>
  </si>
  <si>
    <t>Isabella Rossi</t>
  </si>
  <si>
    <t>2020-01-25</t>
  </si>
  <si>
    <t>Aiden Murphy</t>
  </si>
  <si>
    <t>2021-01-17</t>
  </si>
  <si>
    <t>Zara Ali</t>
  </si>
  <si>
    <t>Nathan Hall</t>
  </si>
  <si>
    <t>2023-03-25</t>
  </si>
  <si>
    <t>Mei Chen</t>
  </si>
  <si>
    <t>2021-07-20</t>
  </si>
  <si>
    <t>Samuel Rivera</t>
  </si>
  <si>
    <t>2022-06-22</t>
  </si>
  <si>
    <t>Anya Kuznetsova</t>
  </si>
  <si>
    <t>2019-08-27</t>
  </si>
  <si>
    <t>Jason Reed</t>
  </si>
  <si>
    <t>2021-01-29</t>
  </si>
  <si>
    <t>Amara Bello</t>
  </si>
  <si>
    <t>2022-11-14</t>
  </si>
  <si>
    <t>Hugo Laurent</t>
  </si>
  <si>
    <t>2020-07-19</t>
  </si>
  <si>
    <t>Kiara Thomas</t>
  </si>
  <si>
    <t>2020-05-13</t>
  </si>
  <si>
    <t>Arjun Kumar</t>
  </si>
  <si>
    <t>2023-06-04</t>
  </si>
  <si>
    <t>Sofia Gomez</t>
  </si>
  <si>
    <t>2021-01-03</t>
  </si>
  <si>
    <t>Daniel White</t>
  </si>
  <si>
    <t>2021-09-02</t>
  </si>
  <si>
    <t>Mila Novakova</t>
  </si>
  <si>
    <t>2021-12-03</t>
  </si>
  <si>
    <t>Jose Ramirez</t>
  </si>
  <si>
    <t>2019-05-31</t>
  </si>
  <si>
    <t>Ava Lee</t>
  </si>
  <si>
    <t>2021-12-22</t>
  </si>
  <si>
    <t>Gabriel Torres</t>
  </si>
  <si>
    <t>2023-12-24</t>
  </si>
  <si>
    <t>Iris Yamamoto</t>
  </si>
  <si>
    <t>2021-02-05</t>
  </si>
  <si>
    <t>Oscar Grant</t>
  </si>
  <si>
    <t>2022-02-13</t>
  </si>
  <si>
    <t>Daniela Pereira</t>
  </si>
  <si>
    <t>Liam Scott</t>
  </si>
  <si>
    <t>2020-12-18</t>
  </si>
  <si>
    <t>Fatou Diop</t>
  </si>
  <si>
    <t>2023-08-26</t>
  </si>
  <si>
    <t>Adrian Chen</t>
  </si>
  <si>
    <t>2021-03-31</t>
  </si>
  <si>
    <t>Sarah Knight</t>
  </si>
  <si>
    <t>2021-01-27</t>
  </si>
  <si>
    <t>Fernando Alvarez</t>
  </si>
  <si>
    <t>2020-07-11</t>
  </si>
  <si>
    <t>Leona Becker</t>
  </si>
  <si>
    <t>2019-08-16</t>
  </si>
  <si>
    <t>Adam Ibrahim</t>
  </si>
  <si>
    <t>2019-01-16</t>
  </si>
  <si>
    <t>Yasmin Haddad</t>
  </si>
  <si>
    <t>2023-03-10</t>
  </si>
  <si>
    <t>Oliver Cruz</t>
  </si>
  <si>
    <t>2019-03-28</t>
  </si>
  <si>
    <t>Giulia Conti</t>
  </si>
  <si>
    <t>2021-04-09</t>
  </si>
  <si>
    <t>Leo Nguyen</t>
  </si>
  <si>
    <t>Amelie Dubois</t>
  </si>
  <si>
    <t>2019-06-06</t>
  </si>
  <si>
    <t>Dario Rossi</t>
  </si>
  <si>
    <t>2020-06-08</t>
  </si>
  <si>
    <t>Helena Costa</t>
  </si>
  <si>
    <t>2023-04-06</t>
  </si>
  <si>
    <t>Jamal Thompson</t>
  </si>
  <si>
    <t>2021-08-18</t>
  </si>
  <si>
    <t>Elina Virtanen</t>
  </si>
  <si>
    <t>2019-04-27</t>
  </si>
  <si>
    <t>Samuel Kim</t>
  </si>
  <si>
    <t>2023-06-10</t>
  </si>
  <si>
    <t>Alina Petrović</t>
  </si>
  <si>
    <t>2019-07-31</t>
  </si>
  <si>
    <t>Benjamin Lewis</t>
  </si>
  <si>
    <t>2022-06-02</t>
  </si>
  <si>
    <t>Amina Mohamed</t>
  </si>
  <si>
    <t>2022-08-18</t>
  </si>
  <si>
    <t>2022-04-08</t>
  </si>
  <si>
    <t>Isla Carter</t>
  </si>
  <si>
    <t>2022-08-10</t>
  </si>
  <si>
    <t>Hiroshi Sato</t>
  </si>
  <si>
    <t>2020-01-05</t>
  </si>
  <si>
    <t>Chloe Mitchell</t>
  </si>
  <si>
    <t>2023-09-07</t>
  </si>
  <si>
    <t>Amir Aziz</t>
  </si>
  <si>
    <t>Livia Marques</t>
  </si>
  <si>
    <t>2023-05-25</t>
  </si>
  <si>
    <t>Ethan Bailey</t>
  </si>
  <si>
    <t>Unknown</t>
  </si>
  <si>
    <t>Aisha Al-Farsi</t>
  </si>
  <si>
    <t>N/A</t>
  </si>
  <si>
    <t>N?A</t>
  </si>
  <si>
    <t>HR Data Analysis - Key Metrics</t>
  </si>
  <si>
    <t>BASIC STATISTICS</t>
  </si>
  <si>
    <t>Total Employees</t>
  </si>
  <si>
    <t>Active and Left</t>
  </si>
  <si>
    <t>Active Employees</t>
  </si>
  <si>
    <t>Employees Left</t>
  </si>
  <si>
    <t>Attrition Rate</t>
  </si>
  <si>
    <t>Percentage who left</t>
  </si>
  <si>
    <t>Average Salary</t>
  </si>
  <si>
    <t>All employees</t>
  </si>
  <si>
    <t>Median Salary</t>
  </si>
  <si>
    <t>Highest Salary</t>
  </si>
  <si>
    <t>Lowest Salary</t>
  </si>
  <si>
    <t>Average Tenure</t>
  </si>
  <si>
    <t>Years</t>
  </si>
  <si>
    <t>Avg Performance Score</t>
  </si>
  <si>
    <t>Out of 5.0</t>
  </si>
  <si>
    <t>Avg Satisfaction Score</t>
  </si>
  <si>
    <t>Out of 10</t>
  </si>
  <si>
    <t>DEPARTMENT ANALYSIS</t>
  </si>
  <si>
    <t>Employees in Sales</t>
  </si>
  <si>
    <t>Avg Salary - Sales</t>
  </si>
  <si>
    <t>Employees in IT</t>
  </si>
  <si>
    <t>Avg Salary - IT</t>
  </si>
  <si>
    <t>Employees in HR</t>
  </si>
  <si>
    <t>Avg Salary - HR</t>
  </si>
  <si>
    <t>PERFORMANCE METRICS</t>
  </si>
  <si>
    <t>High Performers (&gt;4.0)</t>
  </si>
  <si>
    <t>Performance &gt; 4.0</t>
  </si>
  <si>
    <t>Average Performers (3-4)</t>
  </si>
  <si>
    <t>Low Performers (&lt;3.0)</t>
  </si>
  <si>
    <t>Need improvement</t>
  </si>
  <si>
    <t>TRAINING &amp; DEVELOPMENT</t>
  </si>
  <si>
    <t>Total Training Hours</t>
  </si>
  <si>
    <t>Avg Training per Employee</t>
  </si>
  <si>
    <t>Hours/year</t>
  </si>
  <si>
    <t>Employees with 50+ Training Hours</t>
  </si>
  <si>
    <t>Well trained</t>
  </si>
  <si>
    <t>GENDER DIVERSITY</t>
  </si>
  <si>
    <t>Male Employees</t>
  </si>
  <si>
    <t>Female Employees</t>
  </si>
  <si>
    <t>Gender Ratio (F/M)</t>
  </si>
  <si>
    <t>LOCATION ANALYSIS</t>
  </si>
  <si>
    <t>Remote Workers</t>
  </si>
  <si>
    <t>Office Workers</t>
  </si>
  <si>
    <t>Total - Remote</t>
  </si>
  <si>
    <t>% Remote Workers</t>
  </si>
  <si>
    <t>PIVOT TABLE 1: Department Analysis</t>
  </si>
  <si>
    <t>Employee_Count</t>
  </si>
  <si>
    <t>PIVOT TABLE 2: Location Distribution</t>
  </si>
  <si>
    <t>PIVOT TABLE 3: Performance Distribution</t>
  </si>
  <si>
    <t>HR ANALYTICS DASHBOARD</t>
  </si>
  <si>
    <t>Avg Salary</t>
  </si>
  <si>
    <t>Avg Performance</t>
  </si>
  <si>
    <t>Employees</t>
  </si>
  <si>
    <t>Count</t>
  </si>
  <si>
    <t>Row Labels</t>
  </si>
  <si>
    <t>Grand Total</t>
  </si>
  <si>
    <t>Average of Annual_Salary</t>
  </si>
  <si>
    <t>Average Satisfaction Score</t>
  </si>
  <si>
    <t>Average Performance Score</t>
  </si>
  <si>
    <t>Average Annual Salary</t>
  </si>
  <si>
    <t>Total</t>
  </si>
  <si>
    <t>Count of Employee_ID</t>
  </si>
  <si>
    <t>Low performance</t>
  </si>
  <si>
    <t>Average Performance</t>
  </si>
  <si>
    <t>High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</si>
</sst>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0.0%"/>
    <numFmt numFmtId="165" formatCode="\$#,##0"/>
    <numFmt numFmtId="166" formatCode="0.0"/>
    <numFmt numFmtId="167" formatCode="0.000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b/>
      <sz val="12"/>
      <name val="Cambria"/>
      <charset val="1"/>
    </font>
    <font>
      <b/>
      <sz val="14"/>
      <color rgb="FFFFFFFF"/>
      <name val="Cambria"/>
      <charset val="1"/>
    </font>
    <font>
      <b/>
      <sz val="20"/>
      <color rgb="FFFFFFFF"/>
      <name val="Cambria"/>
      <charset val="1"/>
    </font>
    <font>
      <b/>
      <sz val="16"/>
      <name val="Cambria"/>
      <charset val="1"/>
    </font>
    <font>
      <b/>
      <sz val="11"/>
      <color theme="1"/>
      <name val="Calibri"/>
      <family val="2"/>
      <charset val="1"/>
    </font>
    <font>
      <sz val="11"/>
      <color theme="0"/>
      <name val="Calibri"/>
      <family val="2"/>
      <charset val="1"/>
    </font>
    <font>
      <b/>
      <sz val="14"/>
      <color rgb="FFFFFFFF"/>
      <name val="Cambria"/>
      <family val="1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4F81BD"/>
      </patternFill>
    </fill>
    <fill>
      <patternFill patternType="solid">
        <fgColor rgb="FF70AD47"/>
        <bgColor rgb="FF878787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  <fill>
      <patternFill patternType="solid">
        <fgColor rgb="FF203864"/>
        <bgColor rgb="FF33333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164" fontId="0" fillId="0" borderId="0" xfId="0" applyNumberFormat="1"/>
    <xf numFmtId="0" fontId="2" fillId="5" borderId="0" xfId="0" applyFont="1" applyFill="1"/>
    <xf numFmtId="0" fontId="8" fillId="0" borderId="0" xfId="0" applyFont="1"/>
    <xf numFmtId="0" fontId="0" fillId="7" borderId="0" xfId="0" applyFill="1"/>
    <xf numFmtId="0" fontId="0" fillId="8" borderId="0" xfId="0" applyFill="1"/>
    <xf numFmtId="0" fontId="0" fillId="0" borderId="0" xfId="0" applyAlignment="1">
      <alignment horizontal="left"/>
    </xf>
    <xf numFmtId="0" fontId="0" fillId="9" borderId="0" xfId="0" applyFill="1"/>
    <xf numFmtId="165" fontId="0" fillId="9" borderId="0" xfId="0" applyNumberFormat="1" applyFill="1"/>
    <xf numFmtId="165" fontId="0" fillId="8" borderId="0" xfId="0" applyNumberFormat="1" applyFill="1"/>
    <xf numFmtId="0" fontId="0" fillId="10" borderId="0" xfId="0" applyFill="1"/>
    <xf numFmtId="165" fontId="0" fillId="10" borderId="0" xfId="0" applyNumberFormat="1" applyFill="1"/>
    <xf numFmtId="0" fontId="0" fillId="11" borderId="0" xfId="0" applyFill="1"/>
    <xf numFmtId="165" fontId="0" fillId="11" borderId="0" xfId="0" applyNumberFormat="1" applyFill="1"/>
    <xf numFmtId="0" fontId="0" fillId="12" borderId="0" xfId="0" applyFill="1"/>
    <xf numFmtId="165" fontId="0" fillId="12" borderId="0" xfId="0" applyNumberFormat="1" applyFill="1"/>
    <xf numFmtId="0" fontId="0" fillId="13" borderId="0" xfId="0" applyFill="1"/>
    <xf numFmtId="165" fontId="0" fillId="13" borderId="0" xfId="0" applyNumberFormat="1" applyFill="1"/>
    <xf numFmtId="0" fontId="0" fillId="14" borderId="0" xfId="0" applyFill="1"/>
    <xf numFmtId="165" fontId="0" fillId="14" borderId="0" xfId="0" applyNumberFormat="1" applyFill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0" fontId="2" fillId="5" borderId="0" xfId="0" applyFont="1" applyFill="1" applyAlignment="1">
      <alignment horizontal="left"/>
    </xf>
    <xf numFmtId="2" fontId="0" fillId="0" borderId="0" xfId="0" applyNumberFormat="1" applyAlignment="1">
      <alignment horizontal="left"/>
    </xf>
    <xf numFmtId="0" fontId="1" fillId="2" borderId="0" xfId="0" applyFont="1" applyFill="1"/>
    <xf numFmtId="0" fontId="4" fillId="4" borderId="0" xfId="0" applyFont="1" applyFill="1"/>
    <xf numFmtId="0" fontId="5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NumberFormat="1"/>
    <xf numFmtId="2" fontId="0" fillId="0" borderId="0" xfId="0" applyNumberFormat="1"/>
    <xf numFmtId="0" fontId="9" fillId="15" borderId="0" xfId="0" applyFont="1" applyFill="1"/>
    <xf numFmtId="0" fontId="10" fillId="2" borderId="0" xfId="0" applyFont="1" applyFill="1" applyAlignment="1">
      <alignment horizontal="center"/>
    </xf>
    <xf numFmtId="44" fontId="0" fillId="0" borderId="0" xfId="0" applyNumberFormat="1"/>
  </cellXfs>
  <cellStyles count="1">
    <cellStyle name="Normal" xfId="0" builtinId="0"/>
  </cellStyles>
  <dxfs count="28">
    <dxf>
      <numFmt numFmtId="34" formatCode="_(&quot;$&quot;* #,##0.00_);_(&quot;$&quot;* \(#,##0.00\);_(&quot;$&quot;* &quot;-&quot;??_);_(@_)"/>
    </dxf>
    <dxf>
      <numFmt numFmtId="2" formatCode="0.00"/>
    </dxf>
    <dxf>
      <numFmt numFmtId="2" formatCode="0.00"/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ont>
        <color theme="0"/>
      </font>
    </dxf>
    <dxf>
      <font>
        <color theme="0"/>
      </font>
    </dxf>
    <dxf>
      <numFmt numFmtId="34" formatCode="_(&quot;$&quot;* #,##0.00_);_(&quot;$&quot;* \(#,##0.00\);_(&quot;$&quot;* &quot;-&quot;??_);_(@_)"/>
    </dxf>
    <dxf>
      <font>
        <color theme="0"/>
      </font>
      <fill>
        <patternFill patternType="solid">
          <fgColor indexed="64"/>
          <bgColor theme="3" tint="0.39997558519241921"/>
        </patternFill>
      </fill>
    </dxf>
    <dxf>
      <font>
        <color theme="0"/>
      </font>
      <fill>
        <patternFill patternType="solid">
          <fgColor indexed="64"/>
          <bgColor theme="3" tint="0.39997558519241921"/>
        </patternFill>
      </fill>
    </dxf>
    <dxf>
      <font>
        <color theme="0"/>
      </font>
      <fill>
        <patternFill patternType="solid">
          <fgColor indexed="64"/>
          <bgColor theme="3" tint="0.39997558519241921"/>
        </patternFill>
      </fill>
    </dxf>
    <dxf>
      <numFmt numFmtId="34" formatCode="_(&quot;$&quot;* #,##0.00_);_(&quot;$&quot;* \(#,##0.00\);_(&quot;$&quot;* &quot;-&quot;??_);_(@_)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wrapText="1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F81BD"/>
      <rgbColor rgb="FF70AD47"/>
      <rgbColor rgb="FF20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Employees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Dashboard!$C$12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Dashboard!$B$13:$B$19</c:f>
              <c:strCache>
                <c:ptCount val="7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HR</c:v>
                </c:pt>
                <c:pt idx="4">
                  <c:v>Finance</c:v>
                </c:pt>
                <c:pt idx="5">
                  <c:v>Operations</c:v>
                </c:pt>
                <c:pt idx="6">
                  <c:v>Customer Service</c:v>
                </c:pt>
              </c:strCache>
            </c:strRef>
          </c:cat>
          <c:val>
            <c:numRef>
              <c:f>Dashboard!$C$13:$C$19</c:f>
              <c:numCache>
                <c:formatCode>General</c:formatCode>
                <c:ptCount val="7"/>
                <c:pt idx="0">
                  <c:v>22</c:v>
                </c:pt>
                <c:pt idx="1">
                  <c:v>15</c:v>
                </c:pt>
                <c:pt idx="2">
                  <c:v>21</c:v>
                </c:pt>
                <c:pt idx="3">
                  <c:v>27</c:v>
                </c:pt>
                <c:pt idx="4">
                  <c:v>22</c:v>
                </c:pt>
                <c:pt idx="5">
                  <c:v>19</c:v>
                </c:pt>
                <c:pt idx="6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62-42EB-8F61-6454A012E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907707"/>
        <c:axId val="38885319"/>
      </c:barChart>
      <c:catAx>
        <c:axId val="459077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885319"/>
        <c:crosses val="autoZero"/>
        <c:auto val="1"/>
        <c:lblAlgn val="ctr"/>
        <c:lblOffset val="100"/>
        <c:noMultiLvlLbl val="0"/>
      </c:catAx>
      <c:valAx>
        <c:axId val="388853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9077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Salary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Dashboard!$D$12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Dashboard!$B$13:$B$19</c:f>
              <c:strCache>
                <c:ptCount val="7"/>
                <c:pt idx="0">
                  <c:v>Sales</c:v>
                </c:pt>
                <c:pt idx="1">
                  <c:v>Marketing</c:v>
                </c:pt>
                <c:pt idx="2">
                  <c:v>IT</c:v>
                </c:pt>
                <c:pt idx="3">
                  <c:v>HR</c:v>
                </c:pt>
                <c:pt idx="4">
                  <c:v>Finance</c:v>
                </c:pt>
                <c:pt idx="5">
                  <c:v>Operations</c:v>
                </c:pt>
                <c:pt idx="6">
                  <c:v>Customer Service</c:v>
                </c:pt>
              </c:strCache>
            </c:strRef>
          </c:cat>
          <c:val>
            <c:numRef>
              <c:f>Dashboard!$D$13:$D$19</c:f>
              <c:numCache>
                <c:formatCode>\$#,##0</c:formatCode>
                <c:ptCount val="7"/>
                <c:pt idx="0">
                  <c:v>84279.136363636368</c:v>
                </c:pt>
                <c:pt idx="1">
                  <c:v>90822.333333333328</c:v>
                </c:pt>
                <c:pt idx="2">
                  <c:v>69426.71428571429</c:v>
                </c:pt>
                <c:pt idx="3">
                  <c:v>63286.555555555555</c:v>
                </c:pt>
                <c:pt idx="4">
                  <c:v>73125.272727272721</c:v>
                </c:pt>
                <c:pt idx="5">
                  <c:v>68661.210526315786</c:v>
                </c:pt>
                <c:pt idx="6">
                  <c:v>56661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3-4654-8DE4-EEFA3B395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371747"/>
        <c:axId val="53276703"/>
      </c:barChart>
      <c:catAx>
        <c:axId val="543717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276703"/>
        <c:crosses val="autoZero"/>
        <c:auto val="1"/>
        <c:lblAlgn val="ctr"/>
        <c:lblOffset val="100"/>
        <c:noMultiLvlLbl val="0"/>
      </c:catAx>
      <c:valAx>
        <c:axId val="532767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Average Salary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3717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Gender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Dashboard!$C$42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84E-46A3-8DCD-72B0A846118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84E-46A3-8DCD-72B0A846118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4E-46A3-8DCD-72B0A846118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4E-46A3-8DCD-72B0A84611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Dashboard!$B$43:$B$44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Dashboard!$C$43:$C$44</c:f>
              <c:numCache>
                <c:formatCode>General</c:formatCode>
                <c:ptCount val="2"/>
                <c:pt idx="0">
                  <c:v>76</c:v>
                </c:pt>
                <c:pt idx="1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84E-46A3-8DCD-72B0A8461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70920</xdr:rowOff>
    </xdr:from>
    <xdr:to>
      <xdr:col>6</xdr:col>
      <xdr:colOff>464760</xdr:colOff>
      <xdr:row>39</xdr:row>
      <xdr:rowOff>50040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20</xdr:row>
      <xdr:rowOff>70920</xdr:rowOff>
    </xdr:from>
    <xdr:to>
      <xdr:col>14</xdr:col>
      <xdr:colOff>367560</xdr:colOff>
      <xdr:row>39</xdr:row>
      <xdr:rowOff>50040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447675</xdr:colOff>
      <xdr:row>46</xdr:row>
      <xdr:rowOff>4605</xdr:rowOff>
    </xdr:from>
    <xdr:to>
      <xdr:col>5</xdr:col>
      <xdr:colOff>238170</xdr:colOff>
      <xdr:row>64</xdr:row>
      <xdr:rowOff>173865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  <a:ext uri="{147F2762-F138-4A5C-976F-8EAC2B608ADB}">
              <a16:predDERef xmlns:a16="http://schemas.microsoft.com/office/drawing/2014/main" pre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r Everyone" refreshedDate="45978.971050115739" createdVersion="8" refreshedVersion="8" minRefreshableVersion="3" recordCount="151" xr:uid="{7467373D-8281-4A26-AB9A-1F06BFE53C39}">
  <cacheSource type="worksheet">
    <worksheetSource name="HRData"/>
  </cacheSource>
  <cacheFields count="16">
    <cacheField name="Employee_ID" numFmtId="0">
      <sharedItems containsSemiMixedTypes="0" containsString="0" containsNumber="1" containsInteger="1" minValue="1001" maxValue="1151"/>
    </cacheField>
    <cacheField name="Full_Name" numFmtId="0">
      <sharedItems/>
    </cacheField>
    <cacheField name="Department" numFmtId="0">
      <sharedItems count="8">
        <s v="Operations"/>
        <s v="Finance"/>
        <s v="Unknown"/>
        <s v="Marketing"/>
        <s v="IT"/>
        <s v="HR"/>
        <s v="Sales"/>
        <s v="Customer Service"/>
      </sharedItems>
    </cacheField>
    <cacheField name="Position" numFmtId="0">
      <sharedItems/>
    </cacheField>
    <cacheField name="Location" numFmtId="0">
      <sharedItems count="6">
        <s v="Remote"/>
        <s v="Chicago"/>
        <s v="New York"/>
        <s v="Unknown"/>
        <s v="Los Angeles"/>
        <s v="Houston"/>
      </sharedItems>
    </cacheField>
    <cacheField name="Gender" numFmtId="0">
      <sharedItems/>
    </cacheField>
    <cacheField name="Hire_Date" numFmtId="0">
      <sharedItems/>
    </cacheField>
    <cacheField name="Years_at_Company" numFmtId="0">
      <sharedItems containsSemiMixedTypes="0" containsString="0" containsNumber="1" minValue="1.8" maxValue="6.8"/>
    </cacheField>
    <cacheField name="Annual_Salary" numFmtId="0">
      <sharedItems containsSemiMixedTypes="0" containsString="0" containsNumber="1" containsInteger="1" minValue="34965" maxValue="143711" count="149">
        <n v="52012"/>
        <n v="60976"/>
        <n v="84115"/>
        <n v="78039"/>
        <n v="52582"/>
        <n v="71736"/>
        <n v="98748"/>
        <n v="88250"/>
        <n v="71431"/>
        <n v="58394"/>
        <n v="43592"/>
        <n v="68238"/>
        <n v="53655"/>
        <n v="59779"/>
        <n v="60638"/>
        <n v="117267"/>
        <n v="77671"/>
        <n v="68123"/>
        <n v="116929"/>
        <n v="143711"/>
        <n v="75303"/>
        <n v="39278"/>
        <n v="48657"/>
        <n v="77004"/>
        <n v="78211"/>
        <n v="78643"/>
        <n v="52498"/>
        <n v="69125"/>
        <n v="69830"/>
        <n v="58690"/>
        <n v="59912"/>
        <n v="68507"/>
        <n v="53650"/>
        <n v="74286"/>
        <n v="44884"/>
        <n v="71883"/>
        <n v="38801"/>
        <n v="43542"/>
        <n v="40775"/>
        <n v="62570"/>
        <n v="126327"/>
        <n v="79288"/>
        <n v="53819"/>
        <n v="65166"/>
        <n v="47013"/>
        <n v="63750"/>
        <n v="50171"/>
        <n v="88863"/>
        <n v="68763"/>
        <n v="92404"/>
        <n v="55215"/>
        <n v="57413"/>
        <n v="57551"/>
        <n v="53767"/>
        <n v="52784"/>
        <n v="57281"/>
        <n v="125883"/>
        <n v="64647"/>
        <n v="65683"/>
        <n v="45667"/>
        <n v="89087"/>
        <n v="125222"/>
        <n v="96674"/>
        <n v="85414"/>
        <n v="60096"/>
        <n v="42839"/>
        <n v="80650"/>
        <n v="56260"/>
        <n v="52641"/>
        <n v="57839"/>
        <n v="121066"/>
        <n v="47454"/>
        <n v="64137"/>
        <n v="48273"/>
        <n v="63443"/>
        <n v="64762"/>
        <n v="91808"/>
        <n v="59762"/>
        <n v="123668"/>
        <n v="47660"/>
        <n v="52964"/>
        <n v="66782"/>
        <n v="55740"/>
        <n v="83380"/>
        <n v="95025"/>
        <n v="73713"/>
        <n v="79293"/>
        <n v="61049"/>
        <n v="63674"/>
        <n v="59654"/>
        <n v="50084"/>
        <n v="58309"/>
        <n v="85426"/>
        <n v="135878"/>
        <n v="52451"/>
        <n v="67485"/>
        <n v="59416"/>
        <n v="125948"/>
        <n v="90900"/>
        <n v="83322"/>
        <n v="79802"/>
        <n v="70772"/>
        <n v="116607"/>
        <n v="133212"/>
        <n v="119306"/>
        <n v="90391"/>
        <n v="47392"/>
        <n v="77077"/>
        <n v="61396"/>
        <n v="81580"/>
        <n v="87701"/>
        <n v="77141"/>
        <n v="76219"/>
        <n v="74126"/>
        <n v="52529"/>
        <n v="52796"/>
        <n v="57689"/>
        <n v="54883"/>
        <n v="79647"/>
        <n v="56663"/>
        <n v="77487"/>
        <n v="82001"/>
        <n v="34965"/>
        <n v="59425"/>
        <n v="51227"/>
        <n v="93763"/>
        <n v="87280"/>
        <n v="50211"/>
        <n v="57519"/>
        <n v="69281"/>
        <n v="56698"/>
        <n v="84111"/>
        <n v="61294"/>
        <n v="57276"/>
        <n v="49727"/>
        <n v="46464"/>
        <n v="68988"/>
        <n v="57490"/>
        <n v="55082"/>
        <n v="86344"/>
        <n v="81253"/>
        <n v="90201"/>
        <n v="60965"/>
        <n v="69634"/>
        <n v="70763"/>
        <n v="97018"/>
        <n v="102253"/>
        <n v="130424"/>
        <n v="64710"/>
      </sharedItems>
    </cacheField>
    <cacheField name="Performance_Score" numFmtId="0">
      <sharedItems containsSemiMixedTypes="0" containsString="0" containsNumber="1" minValue="2.5" maxValue="5" count="26">
        <n v="3.1"/>
        <n v="2.7"/>
        <n v="4.5"/>
        <n v="3.4"/>
        <n v="3.9"/>
        <n v="5"/>
        <n v="4.3"/>
        <n v="3"/>
        <n v="4.7"/>
        <n v="3.8"/>
        <n v="2.9"/>
        <n v="4.9000000000000004"/>
        <n v="3.2"/>
        <n v="4.5999999999999996"/>
        <n v="2.8"/>
        <n v="4"/>
        <n v="4.4000000000000004"/>
        <n v="4.0999999999999996"/>
        <n v="4.2"/>
        <n v="3.6"/>
        <n v="3.5"/>
        <n v="3.3"/>
        <n v="2.5"/>
        <n v="3.7"/>
        <n v="4.8"/>
        <n v="2.6"/>
      </sharedItems>
      <fieldGroup par="15"/>
    </cacheField>
    <cacheField name="Training_Hours" numFmtId="0">
      <sharedItems containsSemiMixedTypes="0" containsString="0" containsNumber="1" containsInteger="1" minValue="0" maxValue="80"/>
    </cacheField>
    <cacheField name="Overtime_Hours" numFmtId="0">
      <sharedItems containsSemiMixedTypes="0" containsString="0" containsNumber="1" containsInteger="1" minValue="0" maxValue="30"/>
    </cacheField>
    <cacheField name="Satisfaction_Score" numFmtId="0">
      <sharedItems containsSemiMixedTypes="0" containsString="0" containsNumber="1" containsInteger="1" minValue="0" maxValue="10"/>
    </cacheField>
    <cacheField name="Projects_Completed" numFmtId="0">
      <sharedItems containsSemiMixedTypes="0" containsString="0" containsNumber="1" containsInteger="1" minValue="0" maxValue="25"/>
    </cacheField>
    <cacheField name="Status" numFmtId="0">
      <sharedItems/>
    </cacheField>
    <cacheField name="Performance_Score2" numFmtId="0" databaseField="0">
      <fieldGroup base="9">
        <discretePr count="26">
          <x v="1"/>
          <x v="0"/>
          <x v="2"/>
          <x v="1"/>
          <x v="1"/>
          <x v="2"/>
          <x v="2"/>
          <x v="0"/>
          <x v="2"/>
          <x v="1"/>
          <x v="0"/>
          <x v="2"/>
          <x v="1"/>
          <x v="2"/>
          <x v="0"/>
          <x v="1"/>
          <x v="2"/>
          <x v="2"/>
          <x v="2"/>
          <x v="1"/>
          <x v="1"/>
          <x v="1"/>
          <x v="0"/>
          <x v="1"/>
          <x v="2"/>
          <x v="0"/>
        </discretePr>
        <groupItems count="3">
          <s v="Group1"/>
          <s v="Group2"/>
          <s v="Group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">
  <r>
    <n v="1001"/>
    <s v="Emma Johnson"/>
    <x v="0"/>
    <s v="Operations Specialist"/>
    <x v="0"/>
    <s v="Male"/>
    <s v="2019-02-21"/>
    <n v="6.7"/>
    <x v="0"/>
    <x v="0"/>
    <n v="17"/>
    <n v="23"/>
    <n v="5"/>
    <n v="22"/>
    <s v="Active"/>
  </r>
  <r>
    <n v="1002"/>
    <s v="Unknown"/>
    <x v="1"/>
    <s v="Financial Analyst"/>
    <x v="0"/>
    <s v="Female"/>
    <s v="2019-03-07"/>
    <n v="6.6"/>
    <x v="1"/>
    <x v="1"/>
    <n v="29"/>
    <n v="16"/>
    <n v="9"/>
    <n v="1"/>
    <s v="Active"/>
  </r>
  <r>
    <n v="1003"/>
    <s v="Sophia Martinez"/>
    <x v="2"/>
    <s v="Marketing Manager"/>
    <x v="1"/>
    <s v="Male"/>
    <s v="2022-04-21"/>
    <n v="3.5"/>
    <x v="2"/>
    <x v="2"/>
    <n v="41"/>
    <n v="24"/>
    <n v="6"/>
    <n v="23"/>
    <s v="Active"/>
  </r>
  <r>
    <n v="1004"/>
    <s v="Daniel Kim"/>
    <x v="3"/>
    <s v="Unknown"/>
    <x v="2"/>
    <s v="Female"/>
    <s v="2019-07-29"/>
    <n v="6.3"/>
    <x v="3"/>
    <x v="3"/>
    <n v="45"/>
    <n v="27"/>
    <n v="7"/>
    <n v="20"/>
    <s v="Active"/>
  </r>
  <r>
    <n v="1005"/>
    <s v="Aisha Al-Farsi"/>
    <x v="1"/>
    <s v="Accountant"/>
    <x v="3"/>
    <s v="Male"/>
    <s v="2021-02-14"/>
    <n v="4.7"/>
    <x v="4"/>
    <x v="4"/>
    <n v="80"/>
    <n v="19"/>
    <n v="7"/>
    <n v="19"/>
    <s v="Active"/>
  </r>
  <r>
    <n v="1006"/>
    <s v="Michael O’Reilly"/>
    <x v="0"/>
    <s v="Operations Specialist"/>
    <x v="1"/>
    <s v="Unknown"/>
    <s v="2023-05-03"/>
    <n v="2.5"/>
    <x v="5"/>
    <x v="5"/>
    <n v="29"/>
    <n v="27"/>
    <n v="5"/>
    <n v="13"/>
    <s v="Active"/>
  </r>
  <r>
    <n v="1007"/>
    <s v="Chloe Nguyen"/>
    <x v="4"/>
    <s v="IT Manager"/>
    <x v="4"/>
    <s v="Male"/>
    <s v="N/A"/>
    <n v="5.7"/>
    <x v="6"/>
    <x v="6"/>
    <n v="9"/>
    <n v="19"/>
    <n v="10"/>
    <n v="6"/>
    <s v="Active"/>
  </r>
  <r>
    <n v="1008"/>
    <s v="Alejandro Torres"/>
    <x v="5"/>
    <s v="HR Manager"/>
    <x v="1"/>
    <s v="Female"/>
    <s v="2020-07-06"/>
    <n v="4"/>
    <x v="7"/>
    <x v="7"/>
    <n v="41"/>
    <n v="26"/>
    <n v="5"/>
    <n v="8"/>
    <s v="Active"/>
  </r>
  <r>
    <n v="1009"/>
    <s v="Haruto Tanaka"/>
    <x v="4"/>
    <s v="Developer"/>
    <x v="5"/>
    <s v="Male"/>
    <s v="2020-03-08"/>
    <n v="5.6"/>
    <x v="8"/>
    <x v="8"/>
    <n v="40"/>
    <n v="6"/>
    <n v="10"/>
    <n v="16"/>
    <s v="Active"/>
  </r>
  <r>
    <n v="1010"/>
    <s v="Olivia Bennett"/>
    <x v="4"/>
    <s v="IT Support"/>
    <x v="4"/>
    <s v="Female"/>
    <s v="2020-05-20"/>
    <n v="5.4"/>
    <x v="9"/>
    <x v="9"/>
    <n v="74"/>
    <n v="13"/>
    <n v="9"/>
    <n v="13"/>
    <s v="Active"/>
  </r>
  <r>
    <n v="1011"/>
    <s v="Marcus Dupont"/>
    <x v="6"/>
    <s v="Sales Rep"/>
    <x v="5"/>
    <s v="Female"/>
    <s v="2023-10-30"/>
    <n v="2"/>
    <x v="10"/>
    <x v="10"/>
    <n v="40"/>
    <n v="25"/>
    <n v="10"/>
    <n v="14"/>
    <s v="Active"/>
  </r>
  <r>
    <n v="1012"/>
    <s v="Grace Choi"/>
    <x v="1"/>
    <s v="Financial Analyst"/>
    <x v="0"/>
    <s v="Female"/>
    <s v="2021-12-19"/>
    <n v="3.9"/>
    <x v="11"/>
    <x v="11"/>
    <n v="40"/>
    <n v="15"/>
    <n v="10"/>
    <n v="4"/>
    <s v="Active"/>
  </r>
  <r>
    <n v="1013"/>
    <s v="Ethan Patel"/>
    <x v="7"/>
    <s v="Team Lead"/>
    <x v="1"/>
    <s v="Male"/>
    <s v="2020-11-27"/>
    <n v="4.9000000000000004"/>
    <x v="12"/>
    <x v="12"/>
    <n v="20"/>
    <n v="14"/>
    <n v="8"/>
    <n v="24"/>
    <s v="Active"/>
  </r>
  <r>
    <n v="1014"/>
    <s v="Isabella Romano"/>
    <x v="1"/>
    <s v="Accountant"/>
    <x v="4"/>
    <s v="Male"/>
    <s v="2023-11-18"/>
    <n v="1.9"/>
    <x v="13"/>
    <x v="13"/>
    <n v="64"/>
    <n v="19"/>
    <n v="6"/>
    <n v="14"/>
    <s v="Active"/>
  </r>
  <r>
    <n v="1015"/>
    <s v="Lucas Andersen"/>
    <x v="1"/>
    <s v="Financial Analyst"/>
    <x v="0"/>
    <s v="Male"/>
    <s v="2021-09-27"/>
    <n v="4.0999999999999996"/>
    <x v="14"/>
    <x v="14"/>
    <n v="46"/>
    <n v="28"/>
    <n v="7"/>
    <n v="8"/>
    <s v="N?A"/>
  </r>
  <r>
    <n v="1016"/>
    <s v="Natalie Brooks"/>
    <x v="6"/>
    <s v="Sales Director"/>
    <x v="0"/>
    <s v="Male"/>
    <s v="2021-09-22"/>
    <n v="4.0999999999999996"/>
    <x v="15"/>
    <x v="15"/>
    <n v="68"/>
    <n v="24"/>
    <n v="6"/>
    <n v="5"/>
    <s v="Active"/>
  </r>
  <r>
    <n v="1017"/>
    <s v="Amir Khalil"/>
    <x v="4"/>
    <s v="System Admin"/>
    <x v="1"/>
    <s v="Female"/>
    <s v="2020-03-09"/>
    <n v="5.6"/>
    <x v="16"/>
    <x v="16"/>
    <n v="25"/>
    <n v="22"/>
    <n v="7"/>
    <n v="13"/>
    <s v="Active"/>
  </r>
  <r>
    <n v="1018"/>
    <s v="Zoe Richards"/>
    <x v="1"/>
    <s v="Financial Analyst"/>
    <x v="4"/>
    <s v="Male"/>
    <s v="2019-09-05"/>
    <n v="6.1"/>
    <x v="17"/>
    <x v="0"/>
    <n v="43"/>
    <n v="0"/>
    <n v="9"/>
    <n v="18"/>
    <s v="Active"/>
  </r>
  <r>
    <n v="1019"/>
    <s v="Hugo Oliveira"/>
    <x v="6"/>
    <s v="Sales Director"/>
    <x v="1"/>
    <s v="Female"/>
    <s v="2022-07-16"/>
    <n v="3.3"/>
    <x v="18"/>
    <x v="0"/>
    <n v="4"/>
    <n v="27"/>
    <n v="7"/>
    <n v="3"/>
    <s v="Active"/>
  </r>
  <r>
    <n v="1020"/>
    <s v="Mia Johansson"/>
    <x v="3"/>
    <s v="Marketing Director"/>
    <x v="2"/>
    <s v="Female"/>
    <s v="2019-09-28"/>
    <n v="6.1"/>
    <x v="19"/>
    <x v="4"/>
    <n v="31"/>
    <n v="25"/>
    <n v="8"/>
    <n v="14"/>
    <s v="Active"/>
  </r>
  <r>
    <n v="1021"/>
    <s v="Caleb Wright"/>
    <x v="4"/>
    <s v="System Admin"/>
    <x v="5"/>
    <s v="Female"/>
    <s v="2021-04-21"/>
    <n v="4.5"/>
    <x v="20"/>
    <x v="15"/>
    <n v="6"/>
    <n v="21"/>
    <n v="10"/>
    <n v="21"/>
    <s v="Left"/>
  </r>
  <r>
    <n v="1022"/>
    <s v="Hana Suzuki"/>
    <x v="7"/>
    <s v="CS Rep"/>
    <x v="4"/>
    <s v="Male"/>
    <s v="2020-05-24"/>
    <n v="5.4"/>
    <x v="21"/>
    <x v="7"/>
    <n v="57"/>
    <n v="4"/>
    <n v="8"/>
    <n v="6"/>
    <s v="Active"/>
  </r>
  <r>
    <n v="1023"/>
    <s v="Felix Müller"/>
    <x v="5"/>
    <s v="Recruiter"/>
    <x v="4"/>
    <s v="Male"/>
    <s v="2019-07-20"/>
    <n v="6.3"/>
    <x v="22"/>
    <x v="17"/>
    <n v="69"/>
    <n v="26"/>
    <n v="5"/>
    <n v="3"/>
    <s v="Active"/>
  </r>
  <r>
    <n v="1024"/>
    <s v="Layla Carter"/>
    <x v="5"/>
    <s v="HR Manager"/>
    <x v="3"/>
    <s v="Female"/>
    <s v="2021-09-12"/>
    <n v="4.0999999999999996"/>
    <x v="23"/>
    <x v="8"/>
    <n v="7"/>
    <n v="5"/>
    <n v="8"/>
    <n v="1"/>
    <s v="Active"/>
  </r>
  <r>
    <n v="1025"/>
    <s v="Noah Singh"/>
    <x v="4"/>
    <s v="System Admin"/>
    <x v="2"/>
    <s v="Male"/>
    <s v="2022-11-27"/>
    <n v="2.9"/>
    <x v="24"/>
    <x v="18"/>
    <n v="62"/>
    <n v="4"/>
    <n v="6"/>
    <n v="10"/>
    <s v="Active"/>
  </r>
  <r>
    <n v="1026"/>
    <s v="Valentina Costa"/>
    <x v="0"/>
    <s v="Operations Manager"/>
    <x v="0"/>
    <s v="Male"/>
    <s v="2019-04-28"/>
    <n v="6.5"/>
    <x v="25"/>
    <x v="15"/>
    <n v="64"/>
    <n v="29"/>
    <n v="9"/>
    <n v="6"/>
    <s v="Left"/>
  </r>
  <r>
    <n v="1027"/>
    <s v="Jacob Brown"/>
    <x v="7"/>
    <s v="CS Rep"/>
    <x v="0"/>
    <s v="Male"/>
    <s v="2019-05-21"/>
    <n v="6.4"/>
    <x v="26"/>
    <x v="1"/>
    <n v="30"/>
    <n v="12"/>
    <n v="5"/>
    <n v="19"/>
    <s v="Active"/>
  </r>
  <r>
    <n v="1028"/>
    <s v="Emily Zhao"/>
    <x v="1"/>
    <s v="Accountant"/>
    <x v="1"/>
    <s v="Male"/>
    <s v="2021-05-08"/>
    <n v="4.5"/>
    <x v="27"/>
    <x v="4"/>
    <n v="40"/>
    <n v="29"/>
    <n v="7"/>
    <n v="7"/>
    <s v="Active"/>
  </r>
  <r>
    <n v="1029"/>
    <s v="Mateo Rivera"/>
    <x v="4"/>
    <s v="System Admin"/>
    <x v="2"/>
    <s v="Male"/>
    <s v="2019-09-26"/>
    <n v="6.1"/>
    <x v="28"/>
    <x v="19"/>
    <n v="9"/>
    <n v="0"/>
    <n v="8"/>
    <n v="20"/>
    <s v="Active"/>
  </r>
  <r>
    <n v="1030"/>
    <s v="Sofia Ivanova"/>
    <x v="1"/>
    <s v="Accountant"/>
    <x v="4"/>
    <s v="Female"/>
    <s v="2021-11-02"/>
    <n v="4"/>
    <x v="29"/>
    <x v="14"/>
    <n v="44"/>
    <n v="28"/>
    <n v="5"/>
    <n v="8"/>
    <s v="Active"/>
  </r>
  <r>
    <n v="1031"/>
    <s v="Benjamin Clark"/>
    <x v="7"/>
    <s v="Team Lead"/>
    <x v="2"/>
    <s v="Male"/>
    <s v="2022-12-11"/>
    <n v="2.9"/>
    <x v="30"/>
    <x v="15"/>
    <n v="67"/>
    <n v="0"/>
    <n v="10"/>
    <n v="18"/>
    <s v="Active"/>
  </r>
  <r>
    <n v="1032"/>
    <s v="Priya Sharma"/>
    <x v="4"/>
    <s v="Developer"/>
    <x v="1"/>
    <s v="Male"/>
    <s v="2023-12-28"/>
    <n v="1.8"/>
    <x v="31"/>
    <x v="16"/>
    <n v="19"/>
    <n v="8"/>
    <n v="7"/>
    <n v="20"/>
    <s v="Active"/>
  </r>
  <r>
    <n v="1033"/>
    <s v="Leo Moretti"/>
    <x v="0"/>
    <s v="Logistics Coordinator"/>
    <x v="1"/>
    <s v="Male"/>
    <s v="2023-10-13"/>
    <n v="2"/>
    <x v="32"/>
    <x v="9"/>
    <n v="0"/>
    <n v="28"/>
    <n v="5"/>
    <n v="3"/>
    <s v="Active"/>
  </r>
  <r>
    <n v="1034"/>
    <s v="Hannah Nguyen"/>
    <x v="6"/>
    <s v="Sales Manager"/>
    <x v="5"/>
    <s v="Male"/>
    <s v="2023-04-29"/>
    <n v="2.5"/>
    <x v="33"/>
    <x v="17"/>
    <n v="33"/>
    <n v="5"/>
    <n v="10"/>
    <n v="15"/>
    <s v="Active"/>
  </r>
  <r>
    <n v="1035"/>
    <s v="Victor Santos"/>
    <x v="6"/>
    <s v="Sales Rep"/>
    <x v="2"/>
    <s v="Female"/>
    <s v="2023-12-14"/>
    <n v="1.9"/>
    <x v="34"/>
    <x v="4"/>
    <n v="47"/>
    <n v="18"/>
    <n v="9"/>
    <n v="5"/>
    <s v="Active"/>
  </r>
  <r>
    <n v="1036"/>
    <s v="Ava Reynolds"/>
    <x v="4"/>
    <s v="Developer"/>
    <x v="4"/>
    <s v="Male"/>
    <s v="2021-01-02"/>
    <n v="4"/>
    <x v="35"/>
    <x v="18"/>
    <n v="13"/>
    <n v="11"/>
    <n v="9"/>
    <n v="14"/>
    <s v="Active"/>
  </r>
  <r>
    <n v="1037"/>
    <s v="Elias Haddad"/>
    <x v="7"/>
    <s v="CS Rep"/>
    <x v="5"/>
    <s v="Male"/>
    <s v="2023-06-27"/>
    <n v="2.2999999999999998"/>
    <x v="36"/>
    <x v="8"/>
    <n v="3"/>
    <n v="5"/>
    <n v="10"/>
    <n v="11"/>
    <s v="Active"/>
  </r>
  <r>
    <n v="1038"/>
    <s v="Jasmine Cooper"/>
    <x v="2"/>
    <s v="IT Support"/>
    <x v="5"/>
    <s v="Female"/>
    <s v="2023-06-01"/>
    <n v="2.4"/>
    <x v="37"/>
    <x v="20"/>
    <n v="4"/>
    <n v="27"/>
    <n v="8"/>
    <n v="8"/>
    <s v="Active"/>
  </r>
  <r>
    <n v="1039"/>
    <s v="Chen Wei"/>
    <x v="4"/>
    <s v="IT Support"/>
    <x v="1"/>
    <s v="Female"/>
    <s v="2020-04-01"/>
    <n v="5.6"/>
    <x v="38"/>
    <x v="18"/>
    <n v="51"/>
    <n v="10"/>
    <n v="7"/>
    <n v="3"/>
    <s v="Active"/>
  </r>
  <r>
    <n v="1040"/>
    <s v="Grace Thompson"/>
    <x v="0"/>
    <s v="Logistics Coordinator"/>
    <x v="1"/>
    <s v="Male"/>
    <s v="2021-03-29"/>
    <n v="4.5999999999999996"/>
    <x v="39"/>
    <x v="21"/>
    <n v="3"/>
    <n v="3"/>
    <n v="7"/>
    <n v="6"/>
    <s v="Active"/>
  </r>
  <r>
    <n v="1041"/>
    <s v="Julian Park"/>
    <x v="6"/>
    <s v="Sales Director"/>
    <x v="0"/>
    <s v="Male"/>
    <s v="2021-06-08"/>
    <n v="4.4000000000000004"/>
    <x v="40"/>
    <x v="6"/>
    <n v="40"/>
    <n v="13"/>
    <n v="9"/>
    <n v="17"/>
    <s v="Left"/>
  </r>
  <r>
    <n v="1042"/>
    <s v="Aria Morales"/>
    <x v="4"/>
    <s v="Developer"/>
    <x v="4"/>
    <s v="Female"/>
    <s v="2022-12-22"/>
    <n v="2.9"/>
    <x v="41"/>
    <x v="22"/>
    <n v="68"/>
    <n v="21"/>
    <n v="10"/>
    <n v="24"/>
    <s v="Active"/>
  </r>
  <r>
    <n v="1043"/>
    <s v="Omar Abdallah"/>
    <x v="5"/>
    <s v="HR Specialist"/>
    <x v="5"/>
    <s v="Female"/>
    <s v="2022-09-22"/>
    <n v="3.1"/>
    <x v="42"/>
    <x v="17"/>
    <n v="15"/>
    <n v="23"/>
    <n v="7"/>
    <n v="17"/>
    <s v="Active"/>
  </r>
  <r>
    <n v="1044"/>
    <s v="Clara Fischer"/>
    <x v="5"/>
    <s v="Recruiter"/>
    <x v="4"/>
    <s v="Female"/>
    <s v="2020-08-28"/>
    <n v="5.2"/>
    <x v="43"/>
    <x v="14"/>
    <n v="53"/>
    <n v="21"/>
    <n v="8"/>
    <n v="22"/>
    <s v="Active"/>
  </r>
  <r>
    <n v="1045"/>
    <s v="William Hughes"/>
    <x v="5"/>
    <s v="Recruiter"/>
    <x v="5"/>
    <s v="Female"/>
    <s v="2023-09-04"/>
    <n v="2.2000000000000002"/>
    <x v="44"/>
    <x v="21"/>
    <n v="26"/>
    <n v="13"/>
    <n v="9"/>
    <n v="20"/>
    <s v="Active"/>
  </r>
  <r>
    <n v="1046"/>
    <s v="Mei Lin"/>
    <x v="5"/>
    <s v="Recruiter"/>
    <x v="0"/>
    <s v="Female"/>
    <s v="2020-03-13"/>
    <n v="5.6"/>
    <x v="45"/>
    <x v="23"/>
    <n v="21"/>
    <n v="21"/>
    <n v="5"/>
    <n v="10"/>
    <s v="Active"/>
  </r>
  <r>
    <n v="1047"/>
    <s v="Jonathan Carter"/>
    <x v="6"/>
    <s v="Sales Rep"/>
    <x v="5"/>
    <s v="Male"/>
    <s v="2022-10-09"/>
    <n v="3.1"/>
    <x v="46"/>
    <x v="0"/>
    <n v="25"/>
    <n v="4"/>
    <n v="5"/>
    <n v="2"/>
    <s v="Active"/>
  </r>
  <r>
    <n v="1048"/>
    <s v="Fatima Youssef"/>
    <x v="5"/>
    <s v="HR Manager"/>
    <x v="2"/>
    <s v="Male"/>
    <s v="2023-12-20"/>
    <n v="1.9"/>
    <x v="47"/>
    <x v="7"/>
    <n v="49"/>
    <n v="15"/>
    <n v="8"/>
    <n v="8"/>
    <s v="Left"/>
  </r>
  <r>
    <n v="1049"/>
    <s v="Diego Navarro"/>
    <x v="7"/>
    <s v="CS Manager"/>
    <x v="2"/>
    <s v="Female"/>
    <s v="2020-03-24"/>
    <n v="5.6"/>
    <x v="48"/>
    <x v="2"/>
    <n v="66"/>
    <n v="14"/>
    <n v="5"/>
    <n v="18"/>
    <s v="Active"/>
  </r>
  <r>
    <n v="1050"/>
    <s v="Alice Morgan"/>
    <x v="3"/>
    <s v="Marketing Manager"/>
    <x v="0"/>
    <s v="Female"/>
    <s v="2022-09-29"/>
    <n v="3.1"/>
    <x v="49"/>
    <x v="5"/>
    <n v="76"/>
    <n v="10"/>
    <n v="8"/>
    <n v="20"/>
    <s v="Active"/>
  </r>
  <r>
    <n v="1051"/>
    <s v="Darius Petrescu"/>
    <x v="7"/>
    <s v="Team Lead"/>
    <x v="1"/>
    <s v="Female"/>
    <s v="2021-07-02"/>
    <n v="4.3"/>
    <x v="50"/>
    <x v="16"/>
    <n v="60"/>
    <n v="14"/>
    <n v="0"/>
    <n v="25"/>
    <s v="Active"/>
  </r>
  <r>
    <n v="1052"/>
    <s v="Maya Lopez"/>
    <x v="0"/>
    <s v="Operations Specialist"/>
    <x v="0"/>
    <s v="Male"/>
    <s v="2020-07-16"/>
    <n v="5.3"/>
    <x v="51"/>
    <x v="1"/>
    <n v="36"/>
    <n v="7"/>
    <n v="7"/>
    <n v="11"/>
    <s v="Active"/>
  </r>
  <r>
    <n v="1053"/>
    <s v="Isaac Cohen"/>
    <x v="3"/>
    <s v="Marketing Specialist"/>
    <x v="5"/>
    <s v="Female"/>
    <s v="2020-04-18"/>
    <n v="5.5"/>
    <x v="52"/>
    <x v="18"/>
    <n v="27"/>
    <n v="2"/>
    <n v="8"/>
    <n v="14"/>
    <s v="Active"/>
  </r>
  <r>
    <n v="1054"/>
    <s v="Leila Hassan"/>
    <x v="6"/>
    <s v="Sales Rep"/>
    <x v="0"/>
    <s v="Female"/>
    <s v="2023-09-02"/>
    <n v="2.2000000000000002"/>
    <x v="53"/>
    <x v="20"/>
    <n v="74"/>
    <n v="30"/>
    <n v="10"/>
    <n v="1"/>
    <s v="Active"/>
  </r>
  <r>
    <n v="1055"/>
    <s v="Kai Rasmussen"/>
    <x v="5"/>
    <s v="HR Specialist"/>
    <x v="0"/>
    <s v="Male"/>
    <s v="2020-12-21"/>
    <n v="4.9000000000000004"/>
    <x v="54"/>
    <x v="16"/>
    <n v="53"/>
    <n v="17"/>
    <n v="10"/>
    <n v="24"/>
    <s v="Active"/>
  </r>
  <r>
    <n v="1056"/>
    <s v="Talia Green"/>
    <x v="5"/>
    <s v="HR Specialist"/>
    <x v="4"/>
    <s v="Female"/>
    <s v="2020-07-12"/>
    <n v="5.3"/>
    <x v="55"/>
    <x v="23"/>
    <n v="49"/>
    <n v="10"/>
    <n v="10"/>
    <n v="22"/>
    <s v="Active"/>
  </r>
  <r>
    <n v="1057"/>
    <s v="Rohan Desai"/>
    <x v="3"/>
    <s v="Marketing Director"/>
    <x v="5"/>
    <s v="Male"/>
    <s v="2021-12-29"/>
    <n v="3.8"/>
    <x v="56"/>
    <x v="24"/>
    <n v="75"/>
    <n v="18"/>
    <n v="10"/>
    <n v="1"/>
    <s v="Left"/>
  </r>
  <r>
    <n v="1058"/>
    <s v="Camille Dubois"/>
    <x v="7"/>
    <s v="CS Manager"/>
    <x v="5"/>
    <s v="Female"/>
    <s v="2020-01-08"/>
    <n v="5.8"/>
    <x v="57"/>
    <x v="12"/>
    <n v="41"/>
    <n v="6"/>
    <n v="8"/>
    <n v="11"/>
    <s v="Active"/>
  </r>
  <r>
    <n v="1059"/>
    <s v="Ryan Foster"/>
    <x v="7"/>
    <s v="CS Manager"/>
    <x v="2"/>
    <s v="Male"/>
    <s v="2020-05-31"/>
    <n v="5.4"/>
    <x v="58"/>
    <x v="23"/>
    <n v="69"/>
    <n v="1"/>
    <n v="7"/>
    <n v="8"/>
    <s v="Active"/>
  </r>
  <r>
    <n v="1060"/>
    <s v="Jisoo Park"/>
    <x v="3"/>
    <s v="Marketing Specialist"/>
    <x v="4"/>
    <s v="Female"/>
    <s v="2023-09-15"/>
    <n v="2.1"/>
    <x v="59"/>
    <x v="17"/>
    <n v="30"/>
    <n v="4"/>
    <n v="8"/>
    <n v="22"/>
    <s v="Left"/>
  </r>
  <r>
    <n v="1061"/>
    <s v="Andre Costa"/>
    <x v="0"/>
    <s v="Operations Manager"/>
    <x v="4"/>
    <s v="Female"/>
    <s v="2023-04-20"/>
    <n v="2.5"/>
    <x v="60"/>
    <x v="10"/>
    <n v="77"/>
    <n v="30"/>
    <n v="10"/>
    <n v="23"/>
    <s v="Left"/>
  </r>
  <r>
    <n v="1062"/>
    <s v="Emily Wright"/>
    <x v="6"/>
    <s v="Sales Director"/>
    <x v="4"/>
    <s v="Male"/>
    <s v="2019-02-22"/>
    <n v="6.7"/>
    <x v="61"/>
    <x v="4"/>
    <n v="48"/>
    <n v="12"/>
    <n v="10"/>
    <n v="7"/>
    <s v="Left"/>
  </r>
  <r>
    <n v="1063"/>
    <s v="Malik Johnson"/>
    <x v="0"/>
    <s v="Operations Manager"/>
    <x v="1"/>
    <s v="Male"/>
    <s v="2023-10-08"/>
    <n v="2.1"/>
    <x v="62"/>
    <x v="2"/>
    <n v="72"/>
    <n v="25"/>
    <n v="5"/>
    <n v="12"/>
    <s v="Active"/>
  </r>
  <r>
    <n v="1064"/>
    <s v="Freya Andersen"/>
    <x v="1"/>
    <s v="Finance Manager"/>
    <x v="5"/>
    <s v="Male"/>
    <s v="2020-11-29"/>
    <n v="4.9000000000000004"/>
    <x v="63"/>
    <x v="13"/>
    <n v="62"/>
    <n v="3"/>
    <n v="8"/>
    <n v="12"/>
    <s v="Active"/>
  </r>
  <r>
    <n v="1065"/>
    <s v="Diego Fernández"/>
    <x v="5"/>
    <s v="HR Specialist"/>
    <x v="5"/>
    <s v="Female"/>
    <s v="2023-02-11"/>
    <n v="2.7"/>
    <x v="64"/>
    <x v="11"/>
    <n v="34"/>
    <n v="19"/>
    <n v="9"/>
    <n v="25"/>
    <s v="Active"/>
  </r>
  <r>
    <n v="1066"/>
    <s v="Saanvi Mehta"/>
    <x v="4"/>
    <s v="IT Support"/>
    <x v="5"/>
    <s v="Female"/>
    <s v="2023-08-29"/>
    <n v="2.2000000000000002"/>
    <x v="65"/>
    <x v="12"/>
    <n v="57"/>
    <n v="7"/>
    <n v="8"/>
    <n v="19"/>
    <s v="Active"/>
  </r>
  <r>
    <n v="1067"/>
    <s v="Jack Wilson"/>
    <x v="6"/>
    <s v="Sales Manager"/>
    <x v="0"/>
    <s v="Female"/>
    <s v="2023-10-09"/>
    <n v="2.1"/>
    <x v="66"/>
    <x v="7"/>
    <n v="27"/>
    <n v="0"/>
    <n v="7"/>
    <n v="11"/>
    <s v="Active"/>
  </r>
  <r>
    <n v="1068"/>
    <s v="Elena Petrova"/>
    <x v="1"/>
    <s v="Accountant"/>
    <x v="5"/>
    <s v="Female"/>
    <s v="2021-11-24"/>
    <n v="3.9"/>
    <x v="67"/>
    <x v="1"/>
    <n v="52"/>
    <n v="15"/>
    <n v="9"/>
    <n v="25"/>
    <s v="Active"/>
  </r>
  <r>
    <n v="1069"/>
    <s v="Tomasz Kowalski"/>
    <x v="5"/>
    <s v="HR Specialist"/>
    <x v="0"/>
    <s v="Female"/>
    <s v="2019-07-10"/>
    <n v="6.3"/>
    <x v="68"/>
    <x v="0"/>
    <n v="31"/>
    <n v="9"/>
    <n v="10"/>
    <n v="19"/>
    <s v="Active"/>
  </r>
  <r>
    <n v="1070"/>
    <s v="Ruby Harris"/>
    <x v="5"/>
    <s v="Recruiter"/>
    <x v="4"/>
    <s v="Female"/>
    <s v="2022-02-01"/>
    <n v="3.7"/>
    <x v="69"/>
    <x v="3"/>
    <n v="58"/>
    <n v="8"/>
    <n v="7"/>
    <n v="9"/>
    <s v="Active"/>
  </r>
  <r>
    <n v="1071"/>
    <s v="Abdul Rahman"/>
    <x v="6"/>
    <s v="Sales Director"/>
    <x v="0"/>
    <s v="Female"/>
    <s v="2022-01-02"/>
    <n v="3.8"/>
    <x v="70"/>
    <x v="7"/>
    <n v="61"/>
    <n v="8"/>
    <n v="10"/>
    <n v="19"/>
    <s v="Active"/>
  </r>
  <r>
    <n v="1072"/>
    <s v="Chiara Rossi"/>
    <x v="6"/>
    <s v="Sales Rep"/>
    <x v="2"/>
    <s v="Male"/>
    <s v="2020-08-29"/>
    <n v="5.2"/>
    <x v="71"/>
    <x v="3"/>
    <n v="38"/>
    <n v="0"/>
    <n v="10"/>
    <n v="18"/>
    <s v="Left"/>
  </r>
  <r>
    <n v="1073"/>
    <s v="Oliver Stewart"/>
    <x v="1"/>
    <s v="Financial Analyst"/>
    <x v="5"/>
    <s v="Female"/>
    <s v="2022-11-29"/>
    <n v="2.9"/>
    <x v="72"/>
    <x v="17"/>
    <n v="62"/>
    <n v="3"/>
    <n v="5"/>
    <n v="19"/>
    <s v="Active"/>
  </r>
  <r>
    <n v="1074"/>
    <s v="Nora Becker"/>
    <x v="4"/>
    <s v="IT Support"/>
    <x v="0"/>
    <s v="Male"/>
    <s v="2019-04-16"/>
    <n v="6.5"/>
    <x v="73"/>
    <x v="11"/>
    <n v="61"/>
    <n v="3"/>
    <n v="5"/>
    <n v="13"/>
    <s v="Active"/>
  </r>
  <r>
    <n v="1075"/>
    <s v="Luka Novak"/>
    <x v="3"/>
    <s v="Marketing Specialist"/>
    <x v="0"/>
    <s v="Male"/>
    <s v="2023-07-20"/>
    <n v="2.2999999999999998"/>
    <x v="74"/>
    <x v="11"/>
    <n v="10"/>
    <n v="7"/>
    <n v="5"/>
    <n v="18"/>
    <s v="Active"/>
  </r>
  <r>
    <n v="1076"/>
    <s v="Emily Adams"/>
    <x v="7"/>
    <s v="Team Lead"/>
    <x v="0"/>
    <s v="Male"/>
    <s v="2021-02-18"/>
    <n v="4.7"/>
    <x v="75"/>
    <x v="24"/>
    <n v="38"/>
    <n v="27"/>
    <n v="9"/>
    <n v="14"/>
    <s v="Active"/>
  </r>
  <r>
    <n v="1077"/>
    <s v="Ibrahim Mansour"/>
    <x v="1"/>
    <s v="Finance Manager"/>
    <x v="0"/>
    <s v="Male"/>
    <s v="2019-07-23"/>
    <n v="6.3"/>
    <x v="76"/>
    <x v="17"/>
    <n v="33"/>
    <n v="21"/>
    <n v="5"/>
    <n v="6"/>
    <s v="Active"/>
  </r>
  <r>
    <n v="1078"/>
    <s v="Chloe Robinson"/>
    <x v="3"/>
    <s v="Marketing Specialist"/>
    <x v="1"/>
    <s v="Female"/>
    <s v="2021-04-16"/>
    <n v="4.5"/>
    <x v="77"/>
    <x v="18"/>
    <n v="60"/>
    <n v="9"/>
    <n v="5"/>
    <n v="8"/>
    <s v="Active"/>
  </r>
  <r>
    <n v="1079"/>
    <s v="Adam Nowak"/>
    <x v="6"/>
    <s v="Sales Director"/>
    <x v="0"/>
    <s v="Male"/>
    <s v="2020-04-23"/>
    <n v="5.5"/>
    <x v="78"/>
    <x v="2"/>
    <n v="80"/>
    <n v="18"/>
    <n v="10"/>
    <n v="7"/>
    <s v="Active"/>
  </r>
  <r>
    <n v="1080"/>
    <s v="Hana Ahmed"/>
    <x v="0"/>
    <s v="Operations Specialist"/>
    <x v="0"/>
    <s v="Female"/>
    <s v="2020-06-28"/>
    <n v="5.3"/>
    <x v="79"/>
    <x v="1"/>
    <n v="21"/>
    <n v="25"/>
    <n v="7"/>
    <n v="20"/>
    <s v="Active"/>
  </r>
  <r>
    <n v="1081"/>
    <s v="Patrick Evans"/>
    <x v="5"/>
    <s v="HR Specialist"/>
    <x v="0"/>
    <s v="Male"/>
    <s v="2021-08-17"/>
    <n v="4.2"/>
    <x v="80"/>
    <x v="18"/>
    <n v="34"/>
    <n v="16"/>
    <n v="9"/>
    <n v="16"/>
    <s v="Active"/>
  </r>
  <r>
    <n v="1082"/>
    <s v="Keiko Watanabe"/>
    <x v="5"/>
    <s v="Recruiter"/>
    <x v="2"/>
    <s v="Female"/>
    <s v="2020-10-22"/>
    <n v="4"/>
    <x v="81"/>
    <x v="0"/>
    <n v="11"/>
    <n v="7"/>
    <n v="10"/>
    <n v="19"/>
    <s v="Active"/>
  </r>
  <r>
    <n v="1083"/>
    <s v="Lucas Perez"/>
    <x v="1"/>
    <s v="Accountant"/>
    <x v="5"/>
    <s v="Female"/>
    <s v="2023-04-12"/>
    <n v="2.5"/>
    <x v="82"/>
    <x v="23"/>
    <n v="56"/>
    <n v="29"/>
    <n v="7"/>
    <n v="6"/>
    <s v="Active"/>
  </r>
  <r>
    <n v="1084"/>
    <s v="Naomi Cohen"/>
    <x v="6"/>
    <s v="Sales Manager"/>
    <x v="5"/>
    <s v="Female"/>
    <s v="2020-12-13"/>
    <n v="4.9000000000000004"/>
    <x v="83"/>
    <x v="21"/>
    <n v="13"/>
    <n v="27"/>
    <n v="6"/>
    <n v="11"/>
    <s v="Active"/>
  </r>
  <r>
    <n v="1085"/>
    <s v="Amir Sadeghi"/>
    <x v="0"/>
    <s v="Operations Manager"/>
    <x v="5"/>
    <s v="Male"/>
    <s v="2023-07-25"/>
    <n v="2.2999999999999998"/>
    <x v="84"/>
    <x v="25"/>
    <n v="11"/>
    <n v="10"/>
    <n v="7"/>
    <n v="11"/>
    <s v="Left"/>
  </r>
  <r>
    <n v="1086"/>
    <s v="Lila Stone"/>
    <x v="0"/>
    <s v="Logistics Coordinator"/>
    <x v="5"/>
    <s v="Male"/>
    <s v="2021-08-04"/>
    <n v="4.2"/>
    <x v="85"/>
    <x v="25"/>
    <n v="66"/>
    <n v="11"/>
    <n v="9"/>
    <n v="25"/>
    <s v="Active"/>
  </r>
  <r>
    <n v="1087"/>
    <s v="Matteo Rinaldi"/>
    <x v="3"/>
    <s v="Marketing Manager"/>
    <x v="0"/>
    <s v="Male"/>
    <s v="2022-01-29"/>
    <n v="3.7"/>
    <x v="86"/>
    <x v="24"/>
    <n v="56"/>
    <n v="28"/>
    <n v="10"/>
    <n v="16"/>
    <s v="Left"/>
  </r>
  <r>
    <n v="1088"/>
    <s v="Olivia Zhang"/>
    <x v="0"/>
    <s v="Operations Specialist"/>
    <x v="2"/>
    <s v="Male"/>
    <s v="2020-09-28"/>
    <n v="5.0999999999999996"/>
    <x v="87"/>
    <x v="22"/>
    <n v="52"/>
    <n v="2"/>
    <n v="6"/>
    <n v="4"/>
    <s v="Active"/>
  </r>
  <r>
    <n v="1089"/>
    <s v="Eric Campbell"/>
    <x v="5"/>
    <s v="Recruiter"/>
    <x v="0"/>
    <s v="Male"/>
    <s v="2020-08-20"/>
    <n v="5.2"/>
    <x v="88"/>
    <x v="6"/>
    <n v="53"/>
    <n v="26"/>
    <n v="8"/>
    <n v="16"/>
    <s v="Active"/>
  </r>
  <r>
    <n v="1090"/>
    <s v="Farah Rahimi"/>
    <x v="5"/>
    <s v="HR Specialist"/>
    <x v="5"/>
    <s v="Female"/>
    <s v="2022-05-12"/>
    <n v="3.5"/>
    <x v="89"/>
    <x v="16"/>
    <n v="17"/>
    <n v="27"/>
    <n v="5"/>
    <n v="9"/>
    <s v="Active"/>
  </r>
  <r>
    <n v="1091"/>
    <s v="Nikhil Gupta"/>
    <x v="7"/>
    <s v="Team Lead"/>
    <x v="5"/>
    <s v="Male"/>
    <s v="2020-07-01"/>
    <n v="5.3"/>
    <x v="90"/>
    <x v="12"/>
    <n v="38"/>
    <n v="26"/>
    <n v="9"/>
    <n v="19"/>
    <s v="Active"/>
  </r>
  <r>
    <n v="1092"/>
    <s v="Clara Jensen"/>
    <x v="5"/>
    <s v="Recruiter"/>
    <x v="4"/>
    <s v="Female"/>
    <s v="2021-09-18"/>
    <n v="4.0999999999999996"/>
    <x v="91"/>
    <x v="21"/>
    <n v="69"/>
    <n v="12"/>
    <n v="8"/>
    <n v="11"/>
    <s v="Active"/>
  </r>
  <r>
    <n v="1093"/>
    <s v="David Morales"/>
    <x v="3"/>
    <s v="Marketing Manager"/>
    <x v="5"/>
    <s v="Male"/>
    <s v="2019-03-31"/>
    <n v="6.6"/>
    <x v="92"/>
    <x v="16"/>
    <n v="48"/>
    <n v="12"/>
    <n v="10"/>
    <n v="21"/>
    <s v="Active"/>
  </r>
  <r>
    <n v="1094"/>
    <s v="Yara Silva"/>
    <x v="3"/>
    <s v="Marketing Director"/>
    <x v="4"/>
    <s v="Female"/>
    <s v="2022-04-23"/>
    <n v="3.5"/>
    <x v="93"/>
    <x v="8"/>
    <n v="56"/>
    <n v="3"/>
    <n v="9"/>
    <n v="0"/>
    <s v="Left"/>
  </r>
  <r>
    <n v="1095"/>
    <s v="Ethan Walker"/>
    <x v="7"/>
    <s v="Team Lead"/>
    <x v="2"/>
    <s v="Female"/>
    <s v="2019-11-13"/>
    <n v="6"/>
    <x v="94"/>
    <x v="23"/>
    <n v="33"/>
    <n v="10"/>
    <n v="9"/>
    <n v="23"/>
    <s v="Active"/>
  </r>
  <r>
    <n v="1096"/>
    <s v="Luna Delgado"/>
    <x v="7"/>
    <s v="Team Lead"/>
    <x v="0"/>
    <s v="Male"/>
    <s v="2023-10-26"/>
    <n v="2"/>
    <x v="95"/>
    <x v="20"/>
    <n v="40"/>
    <n v="20"/>
    <n v="10"/>
    <n v="25"/>
    <s v="Active"/>
  </r>
  <r>
    <n v="1097"/>
    <s v="Victor Leblanc"/>
    <x v="1"/>
    <s v="Accountant"/>
    <x v="2"/>
    <s v="Female"/>
    <s v="2020-04-25"/>
    <n v="5.5"/>
    <x v="96"/>
    <x v="5"/>
    <n v="11"/>
    <n v="13"/>
    <n v="5"/>
    <n v="25"/>
    <s v="Active"/>
  </r>
  <r>
    <n v="1098"/>
    <s v="Naomi Tan"/>
    <x v="3"/>
    <s v="Marketing Director"/>
    <x v="4"/>
    <s v="Female"/>
    <s v="2020-09-05"/>
    <n v="5.0999999999999996"/>
    <x v="97"/>
    <x v="25"/>
    <n v="7"/>
    <n v="9"/>
    <n v="7"/>
    <n v="12"/>
    <s v="Active"/>
  </r>
  <r>
    <n v="1099"/>
    <s v="Elijah Cooper"/>
    <x v="1"/>
    <s v="Finance Manager"/>
    <x v="5"/>
    <s v="Male"/>
    <s v="2023-06-12"/>
    <n v="2.4"/>
    <x v="98"/>
    <x v="10"/>
    <n v="10"/>
    <n v="19"/>
    <n v="8"/>
    <n v="20"/>
    <s v="Active"/>
  </r>
  <r>
    <n v="1100"/>
    <s v="Irene Dimitrova"/>
    <x v="3"/>
    <s v="Marketing Manager"/>
    <x v="4"/>
    <s v="Male"/>
    <s v="2022-07-30"/>
    <n v="3.2"/>
    <x v="99"/>
    <x v="19"/>
    <n v="1"/>
    <n v="28"/>
    <n v="8"/>
    <n v="10"/>
    <s v="Active"/>
  </r>
  <r>
    <n v="1101"/>
    <s v="Carlos Mendes"/>
    <x v="5"/>
    <s v="HR Manager"/>
    <x v="4"/>
    <s v="Female"/>
    <s v="2022-04-18"/>
    <n v="3.5"/>
    <x v="100"/>
    <x v="17"/>
    <n v="54"/>
    <n v="22"/>
    <n v="7"/>
    <n v="15"/>
    <s v="Active"/>
  </r>
  <r>
    <n v="1102"/>
    <s v="Ava Robinson"/>
    <x v="7"/>
    <s v="CS Manager"/>
    <x v="5"/>
    <s v="Female"/>
    <s v="2019-08-07"/>
    <n v="6.2"/>
    <x v="101"/>
    <x v="20"/>
    <n v="45"/>
    <n v="18"/>
    <n v="7"/>
    <n v="23"/>
    <s v="Active"/>
  </r>
  <r>
    <n v="1103"/>
    <s v="Junjie Li"/>
    <x v="6"/>
    <s v="Sales Director"/>
    <x v="0"/>
    <s v="Female"/>
    <s v="2023-11-07"/>
    <n v="2"/>
    <x v="102"/>
    <x v="24"/>
    <n v="63"/>
    <n v="26"/>
    <n v="7"/>
    <n v="25"/>
    <s v="Active"/>
  </r>
  <r>
    <n v="1104"/>
    <s v="Isabella Rossi"/>
    <x v="3"/>
    <s v="Marketing Director"/>
    <x v="1"/>
    <s v="Female"/>
    <s v="2020-01-25"/>
    <n v="5.8"/>
    <x v="103"/>
    <x v="18"/>
    <n v="17"/>
    <n v="20"/>
    <n v="5"/>
    <n v="21"/>
    <s v="Active"/>
  </r>
  <r>
    <n v="1105"/>
    <s v="Aiden Murphy"/>
    <x v="6"/>
    <s v="Sales Director"/>
    <x v="4"/>
    <s v="Female"/>
    <s v="2021-01-17"/>
    <n v="4.8"/>
    <x v="104"/>
    <x v="1"/>
    <n v="37"/>
    <n v="10"/>
    <n v="10"/>
    <n v="14"/>
    <s v="Active"/>
  </r>
  <r>
    <n v="1106"/>
    <s v="Zara Ali"/>
    <x v="1"/>
    <s v="Finance Manager"/>
    <x v="2"/>
    <s v="Female"/>
    <s v="2020-07-12"/>
    <n v="5.3"/>
    <x v="105"/>
    <x v="0"/>
    <n v="61"/>
    <n v="30"/>
    <n v="7"/>
    <n v="24"/>
    <s v="Active"/>
  </r>
  <r>
    <n v="1107"/>
    <s v="Nathan Hall"/>
    <x v="6"/>
    <s v="Sales Rep"/>
    <x v="5"/>
    <s v="Male"/>
    <s v="2023-03-25"/>
    <n v="2.6"/>
    <x v="106"/>
    <x v="8"/>
    <n v="50"/>
    <n v="30"/>
    <n v="9"/>
    <n v="12"/>
    <s v="Left"/>
  </r>
  <r>
    <n v="1108"/>
    <s v="Mei Chen"/>
    <x v="4"/>
    <s v="Developer"/>
    <x v="2"/>
    <s v="Male"/>
    <s v="2021-07-20"/>
    <n v="4.3"/>
    <x v="107"/>
    <x v="18"/>
    <n v="33"/>
    <n v="18"/>
    <n v="8"/>
    <n v="21"/>
    <s v="Active"/>
  </r>
  <r>
    <n v="1109"/>
    <s v="Samuel Rivera"/>
    <x v="5"/>
    <s v="HR Specialist"/>
    <x v="5"/>
    <s v="Female"/>
    <s v="2022-06-22"/>
    <n v="3.4"/>
    <x v="108"/>
    <x v="21"/>
    <n v="78"/>
    <n v="7"/>
    <n v="10"/>
    <n v="3"/>
    <s v="Active"/>
  </r>
  <r>
    <n v="1110"/>
    <s v="Anya Kuznetsova"/>
    <x v="0"/>
    <s v="Operations Manager"/>
    <x v="0"/>
    <s v="Male"/>
    <s v="2019-08-27"/>
    <n v="6.2"/>
    <x v="109"/>
    <x v="25"/>
    <n v="4"/>
    <n v="9"/>
    <n v="8"/>
    <n v="4"/>
    <s v="Left"/>
  </r>
  <r>
    <n v="1111"/>
    <s v="Jason Reed"/>
    <x v="5"/>
    <s v="HR Manager"/>
    <x v="5"/>
    <s v="Female"/>
    <s v="2021-01-29"/>
    <n v="4.7"/>
    <x v="110"/>
    <x v="20"/>
    <n v="19"/>
    <n v="28"/>
    <n v="8"/>
    <n v="21"/>
    <s v="Left"/>
  </r>
  <r>
    <n v="1112"/>
    <s v="Amara Bello"/>
    <x v="4"/>
    <s v="Developer"/>
    <x v="1"/>
    <s v="Female"/>
    <s v="2022-11-14"/>
    <n v="3"/>
    <x v="111"/>
    <x v="7"/>
    <n v="56"/>
    <n v="30"/>
    <n v="6"/>
    <n v="12"/>
    <s v="Left"/>
  </r>
  <r>
    <n v="1113"/>
    <s v="Hugo Laurent"/>
    <x v="6"/>
    <s v="Sales Manager"/>
    <x v="0"/>
    <s v="Male"/>
    <s v="2020-07-19"/>
    <n v="5.3"/>
    <x v="112"/>
    <x v="11"/>
    <n v="58"/>
    <n v="2"/>
    <n v="10"/>
    <n v="7"/>
    <s v="Active"/>
  </r>
  <r>
    <n v="1114"/>
    <s v="Kiara Thomas"/>
    <x v="6"/>
    <s v="Sales Manager"/>
    <x v="4"/>
    <s v="Female"/>
    <s v="2020-05-13"/>
    <n v="5.5"/>
    <x v="113"/>
    <x v="2"/>
    <n v="26"/>
    <n v="2"/>
    <n v="9"/>
    <n v="7"/>
    <s v="Active"/>
  </r>
  <r>
    <n v="1115"/>
    <s v="Arjun Kumar"/>
    <x v="7"/>
    <s v="CS Rep"/>
    <x v="2"/>
    <s v="Male"/>
    <s v="2023-06-04"/>
    <n v="2.4"/>
    <x v="114"/>
    <x v="22"/>
    <n v="18"/>
    <n v="4"/>
    <n v="9"/>
    <n v="9"/>
    <s v="Active"/>
  </r>
  <r>
    <n v="1116"/>
    <s v="Sofia Gomez"/>
    <x v="3"/>
    <s v="Marketing Specialist"/>
    <x v="5"/>
    <s v="Male"/>
    <s v="2021-01-03"/>
    <n v="4.8"/>
    <x v="115"/>
    <x v="15"/>
    <n v="2"/>
    <n v="5"/>
    <n v="7"/>
    <n v="2"/>
    <s v="Left"/>
  </r>
  <r>
    <n v="1117"/>
    <s v="Daniel White"/>
    <x v="0"/>
    <s v="Operations Specialist"/>
    <x v="0"/>
    <s v="Male"/>
    <s v="2021-09-02"/>
    <n v="4.2"/>
    <x v="116"/>
    <x v="16"/>
    <n v="65"/>
    <n v="18"/>
    <n v="5"/>
    <n v="15"/>
    <s v="Active"/>
  </r>
  <r>
    <n v="1118"/>
    <s v="Mila Novakova"/>
    <x v="0"/>
    <s v="Logistics Coordinator"/>
    <x v="2"/>
    <s v="Female"/>
    <s v="2021-12-03"/>
    <n v="3.9"/>
    <x v="117"/>
    <x v="19"/>
    <n v="3"/>
    <n v="1"/>
    <n v="8"/>
    <n v="13"/>
    <s v="Active"/>
  </r>
  <r>
    <n v="1119"/>
    <s v="Jose Ramirez"/>
    <x v="0"/>
    <s v="Operations Manager"/>
    <x v="0"/>
    <s v="Female"/>
    <s v="2019-05-31"/>
    <n v="6.4"/>
    <x v="118"/>
    <x v="21"/>
    <n v="18"/>
    <n v="2"/>
    <n v="6"/>
    <n v="9"/>
    <s v="Active"/>
  </r>
  <r>
    <n v="1120"/>
    <s v="Ava Lee"/>
    <x v="5"/>
    <s v="Recruiter"/>
    <x v="0"/>
    <s v="Male"/>
    <s v="2021-12-22"/>
    <n v="3.9"/>
    <x v="119"/>
    <x v="19"/>
    <n v="77"/>
    <n v="13"/>
    <n v="5"/>
    <n v="23"/>
    <s v="Left"/>
  </r>
  <r>
    <n v="1121"/>
    <s v="Gabriel Torres"/>
    <x v="5"/>
    <s v="HR Manager"/>
    <x v="5"/>
    <s v="Female"/>
    <s v="2023-12-24"/>
    <n v="1.8"/>
    <x v="120"/>
    <x v="20"/>
    <n v="58"/>
    <n v="12"/>
    <n v="8"/>
    <n v="24"/>
    <s v="Left"/>
  </r>
  <r>
    <n v="1122"/>
    <s v="Iris Yamamoto"/>
    <x v="0"/>
    <s v="Operations Manager"/>
    <x v="3"/>
    <s v="Female"/>
    <s v="2021-02-05"/>
    <n v="4.7"/>
    <x v="121"/>
    <x v="18"/>
    <n v="60"/>
    <n v="2"/>
    <n v="5"/>
    <n v="3"/>
    <s v="Left"/>
  </r>
  <r>
    <n v="1123"/>
    <s v="Oscar Grant"/>
    <x v="7"/>
    <s v="CS Rep"/>
    <x v="1"/>
    <s v="Female"/>
    <s v="2022-02-13"/>
    <n v="3.7"/>
    <x v="122"/>
    <x v="15"/>
    <n v="71"/>
    <n v="17"/>
    <n v="7"/>
    <n v="22"/>
    <s v="Left"/>
  </r>
  <r>
    <n v="1124"/>
    <s v="Daniela Pereira"/>
    <x v="7"/>
    <s v="Team Lead"/>
    <x v="5"/>
    <s v="Male"/>
    <s v="2019-04-16"/>
    <n v="6.5"/>
    <x v="123"/>
    <x v="15"/>
    <n v="45"/>
    <n v="3"/>
    <n v="9"/>
    <n v="17"/>
    <s v="Active"/>
  </r>
  <r>
    <n v="1125"/>
    <s v="Liam Scott"/>
    <x v="7"/>
    <s v="CS Rep"/>
    <x v="0"/>
    <s v="Male"/>
    <s v="2020-12-18"/>
    <n v="4.9000000000000004"/>
    <x v="124"/>
    <x v="3"/>
    <n v="35"/>
    <n v="18"/>
    <n v="6"/>
    <n v="14"/>
    <s v="Active"/>
  </r>
  <r>
    <n v="1126"/>
    <s v="Fatou Diop"/>
    <x v="1"/>
    <s v="Finance Manager"/>
    <x v="4"/>
    <s v="Male"/>
    <s v="2023-08-26"/>
    <n v="2.2000000000000002"/>
    <x v="125"/>
    <x v="25"/>
    <n v="34"/>
    <n v="22"/>
    <n v="7"/>
    <n v="11"/>
    <s v="Active"/>
  </r>
  <r>
    <n v="1127"/>
    <s v="Adrian Chen"/>
    <x v="1"/>
    <s v="Finance Manager"/>
    <x v="5"/>
    <s v="Female"/>
    <s v="2021-03-31"/>
    <n v="4.5999999999999996"/>
    <x v="126"/>
    <x v="10"/>
    <n v="3"/>
    <n v="2"/>
    <n v="10"/>
    <n v="17"/>
    <s v="Active"/>
  </r>
  <r>
    <n v="1128"/>
    <s v="Sarah Knight"/>
    <x v="4"/>
    <s v="IT Support"/>
    <x v="0"/>
    <s v="Male"/>
    <s v="2021-01-27"/>
    <n v="4.8"/>
    <x v="127"/>
    <x v="6"/>
    <n v="72"/>
    <n v="19"/>
    <n v="5"/>
    <n v="2"/>
    <s v="Active"/>
  </r>
  <r>
    <n v="1129"/>
    <s v="Fernando Alvarez"/>
    <x v="0"/>
    <s v="Operations Specialist"/>
    <x v="0"/>
    <s v="Male"/>
    <s v="2020-07-11"/>
    <n v="5.3"/>
    <x v="128"/>
    <x v="18"/>
    <n v="62"/>
    <n v="19"/>
    <n v="8"/>
    <n v="14"/>
    <s v="Active"/>
  </r>
  <r>
    <n v="1130"/>
    <s v="Leona Becker"/>
    <x v="4"/>
    <s v="System Admin"/>
    <x v="4"/>
    <s v="Female"/>
    <s v="2019-08-16"/>
    <n v="6.2"/>
    <x v="129"/>
    <x v="18"/>
    <n v="75"/>
    <n v="15"/>
    <n v="9"/>
    <n v="22"/>
    <s v="Active"/>
  </r>
  <r>
    <n v="1131"/>
    <s v="Adam Ibrahim"/>
    <x v="1"/>
    <s v="Accountant"/>
    <x v="3"/>
    <s v="Male"/>
    <s v="2019-01-16"/>
    <n v="6.8"/>
    <x v="130"/>
    <x v="21"/>
    <n v="27"/>
    <n v="24"/>
    <n v="6"/>
    <n v="25"/>
    <s v="Active"/>
  </r>
  <r>
    <n v="1132"/>
    <s v="Yasmin Haddad"/>
    <x v="6"/>
    <s v="Sales Manager"/>
    <x v="1"/>
    <s v="Male"/>
    <s v="2023-03-10"/>
    <n v="2.6"/>
    <x v="131"/>
    <x v="10"/>
    <n v="48"/>
    <n v="17"/>
    <n v="10"/>
    <n v="8"/>
    <s v="Active"/>
  </r>
  <r>
    <n v="1133"/>
    <s v="Oliver Cruz"/>
    <x v="5"/>
    <s v="Recruiter"/>
    <x v="5"/>
    <s v="Female"/>
    <s v="2019-03-28"/>
    <n v="6.6"/>
    <x v="132"/>
    <x v="22"/>
    <n v="9"/>
    <n v="27"/>
    <n v="7"/>
    <n v="19"/>
    <s v="Active"/>
  </r>
  <r>
    <n v="1134"/>
    <s v="Giulia Conti"/>
    <x v="4"/>
    <s v="Developer"/>
    <x v="1"/>
    <s v="Male"/>
    <s v="2021-04-09"/>
    <n v="4.5999999999999996"/>
    <x v="58"/>
    <x v="11"/>
    <n v="21"/>
    <n v="25"/>
    <n v="9"/>
    <n v="15"/>
    <s v="Active"/>
  </r>
  <r>
    <n v="1135"/>
    <s v="Leo Nguyen"/>
    <x v="5"/>
    <s v="HR Specialist"/>
    <x v="4"/>
    <s v="Female"/>
    <s v="2020-05-13"/>
    <n v="5.5"/>
    <x v="133"/>
    <x v="15"/>
    <n v="67"/>
    <n v="2"/>
    <n v="8"/>
    <n v="10"/>
    <s v="Active"/>
  </r>
  <r>
    <n v="1136"/>
    <s v="Amelie Dubois"/>
    <x v="7"/>
    <s v="CS Rep"/>
    <x v="4"/>
    <s v="Male"/>
    <s v="2019-06-06"/>
    <n v="6.4"/>
    <x v="134"/>
    <x v="17"/>
    <n v="67"/>
    <n v="16"/>
    <n v="6"/>
    <n v="25"/>
    <s v="Active"/>
  </r>
  <r>
    <n v="1137"/>
    <s v="Dario Rossi"/>
    <x v="6"/>
    <s v="Sales Rep"/>
    <x v="5"/>
    <s v="Female"/>
    <s v="2020-06-08"/>
    <n v="5.4"/>
    <x v="135"/>
    <x v="10"/>
    <n v="19"/>
    <n v="24"/>
    <n v="10"/>
    <n v="3"/>
    <s v="Active"/>
  </r>
  <r>
    <n v="1138"/>
    <s v="Helena Costa"/>
    <x v="7"/>
    <s v="Unknown"/>
    <x v="1"/>
    <s v="Male"/>
    <s v="2023-04-06"/>
    <n v="2.6"/>
    <x v="136"/>
    <x v="19"/>
    <n v="72"/>
    <n v="20"/>
    <n v="10"/>
    <n v="20"/>
    <s v="Active"/>
  </r>
  <r>
    <n v="1139"/>
    <s v="Jamal Thompson"/>
    <x v="5"/>
    <s v="HR Specialist"/>
    <x v="1"/>
    <s v="Female"/>
    <s v="2021-08-18"/>
    <n v="4.2"/>
    <x v="137"/>
    <x v="17"/>
    <n v="35"/>
    <n v="18"/>
    <n v="5"/>
    <n v="12"/>
    <s v="Active"/>
  </r>
  <r>
    <n v="1140"/>
    <s v="Elina Virtanen"/>
    <x v="5"/>
    <s v="HR Specialist"/>
    <x v="5"/>
    <s v="Female"/>
    <s v="2019-04-27"/>
    <n v="6.5"/>
    <x v="138"/>
    <x v="13"/>
    <n v="9"/>
    <n v="20"/>
    <n v="5"/>
    <n v="20"/>
    <s v="Active"/>
  </r>
  <r>
    <n v="1141"/>
    <s v="Samuel Kim"/>
    <x v="1"/>
    <s v="Finance Manager"/>
    <x v="0"/>
    <s v="Male"/>
    <s v="2023-06-10"/>
    <n v="2.4"/>
    <x v="139"/>
    <x v="19"/>
    <n v="73"/>
    <n v="20"/>
    <n v="6"/>
    <n v="11"/>
    <s v="Active"/>
  </r>
  <r>
    <n v="1142"/>
    <s v="Alina Petrović"/>
    <x v="6"/>
    <s v="Sales Manager"/>
    <x v="5"/>
    <s v="Female"/>
    <s v="2019-07-31"/>
    <n v="6.2"/>
    <x v="140"/>
    <x v="5"/>
    <n v="10"/>
    <n v="16"/>
    <n v="10"/>
    <n v="6"/>
    <s v="Left"/>
  </r>
  <r>
    <n v="1143"/>
    <s v="Benjamin Lewis"/>
    <x v="1"/>
    <s v="Finance Manager"/>
    <x v="0"/>
    <s v="Male"/>
    <s v="2022-06-02"/>
    <n v="3.4"/>
    <x v="141"/>
    <x v="3"/>
    <n v="36"/>
    <n v="12"/>
    <n v="8"/>
    <n v="25"/>
    <s v="Active"/>
  </r>
  <r>
    <n v="1144"/>
    <s v="Amina Mohamed"/>
    <x v="7"/>
    <s v="Team Lead"/>
    <x v="0"/>
    <s v="Male"/>
    <s v="2022-08-18"/>
    <n v="3.2"/>
    <x v="142"/>
    <x v="1"/>
    <n v="12"/>
    <n v="17"/>
    <n v="10"/>
    <n v="13"/>
    <s v="Active"/>
  </r>
  <r>
    <n v="1145"/>
    <s v="Unknown"/>
    <x v="4"/>
    <s v="Developer"/>
    <x v="4"/>
    <s v="Male"/>
    <s v="2022-04-08"/>
    <n v="3.6"/>
    <x v="143"/>
    <x v="24"/>
    <n v="39"/>
    <n v="30"/>
    <n v="10"/>
    <n v="23"/>
    <s v="Active"/>
  </r>
  <r>
    <n v="1146"/>
    <s v="Isla Carter"/>
    <x v="4"/>
    <s v="System Admin"/>
    <x v="1"/>
    <s v="Male"/>
    <s v="2022-08-10"/>
    <n v="3.2"/>
    <x v="144"/>
    <x v="2"/>
    <n v="67"/>
    <n v="2"/>
    <n v="10"/>
    <n v="22"/>
    <s v="Active"/>
  </r>
  <r>
    <n v="1147"/>
    <s v="Hiroshi Sato"/>
    <x v="4"/>
    <s v="IT Manager"/>
    <x v="1"/>
    <s v="Male"/>
    <s v="2020-01-05"/>
    <n v="5.8"/>
    <x v="145"/>
    <x v="3"/>
    <n v="62"/>
    <n v="6"/>
    <n v="6"/>
    <n v="5"/>
    <s v="Active"/>
  </r>
  <r>
    <n v="1148"/>
    <s v="Chloe Mitchell"/>
    <x v="1"/>
    <s v="Finance Manager"/>
    <x v="4"/>
    <s v="Male"/>
    <s v="2023-09-07"/>
    <n v="2.1"/>
    <x v="146"/>
    <x v="25"/>
    <n v="43"/>
    <n v="28"/>
    <n v="9"/>
    <n v="5"/>
    <s v="Active"/>
  </r>
  <r>
    <n v="1149"/>
    <s v="Amir Aziz"/>
    <x v="2"/>
    <s v="Marketing Director"/>
    <x v="5"/>
    <s v="Female"/>
    <s v="2023-04-29"/>
    <n v="2.5"/>
    <x v="147"/>
    <x v="6"/>
    <n v="5"/>
    <n v="13"/>
    <n v="7"/>
    <n v="22"/>
    <s v="Active"/>
  </r>
  <r>
    <n v="1150"/>
    <s v="Livia Marques"/>
    <x v="7"/>
    <s v="Team Lead"/>
    <x v="0"/>
    <s v="Female"/>
    <s v="2023-05-25"/>
    <n v="2.4"/>
    <x v="148"/>
    <x v="0"/>
    <n v="30"/>
    <n v="9"/>
    <n v="8"/>
    <n v="7"/>
    <s v="Active"/>
  </r>
  <r>
    <n v="1151"/>
    <s v="Ethan Bailey"/>
    <x v="0"/>
    <s v="Operations Specialist"/>
    <x v="0"/>
    <s v="Unknown"/>
    <s v="2019-02-21"/>
    <n v="6.7"/>
    <x v="0"/>
    <x v="0"/>
    <n v="17"/>
    <n v="23"/>
    <n v="5"/>
    <n v="22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F2333-FACB-4441-99AF-7F415DE36E14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C28" firstHeaderRow="0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50">
        <item x="122"/>
        <item x="36"/>
        <item x="21"/>
        <item x="38"/>
        <item x="65"/>
        <item x="37"/>
        <item x="10"/>
        <item x="34"/>
        <item x="59"/>
        <item x="135"/>
        <item x="44"/>
        <item x="106"/>
        <item x="71"/>
        <item x="79"/>
        <item x="73"/>
        <item x="22"/>
        <item x="134"/>
        <item x="90"/>
        <item x="46"/>
        <item x="127"/>
        <item x="124"/>
        <item x="0"/>
        <item x="94"/>
        <item x="26"/>
        <item x="114"/>
        <item x="4"/>
        <item x="68"/>
        <item x="54"/>
        <item x="115"/>
        <item x="80"/>
        <item x="32"/>
        <item x="12"/>
        <item x="53"/>
        <item x="42"/>
        <item x="117"/>
        <item x="138"/>
        <item x="50"/>
        <item x="82"/>
        <item x="67"/>
        <item x="119"/>
        <item x="130"/>
        <item x="133"/>
        <item x="55"/>
        <item x="51"/>
        <item x="137"/>
        <item x="128"/>
        <item x="52"/>
        <item x="116"/>
        <item x="69"/>
        <item x="91"/>
        <item x="9"/>
        <item x="29"/>
        <item x="96"/>
        <item x="123"/>
        <item x="89"/>
        <item x="77"/>
        <item x="13"/>
        <item x="30"/>
        <item x="64"/>
        <item x="14"/>
        <item x="142"/>
        <item x="1"/>
        <item x="87"/>
        <item x="132"/>
        <item x="108"/>
        <item x="39"/>
        <item x="74"/>
        <item x="88"/>
        <item x="45"/>
        <item x="72"/>
        <item x="57"/>
        <item x="148"/>
        <item x="75"/>
        <item x="43"/>
        <item x="58"/>
        <item x="81"/>
        <item x="95"/>
        <item x="17"/>
        <item x="11"/>
        <item x="31"/>
        <item x="48"/>
        <item x="136"/>
        <item x="27"/>
        <item x="129"/>
        <item x="143"/>
        <item x="28"/>
        <item x="144"/>
        <item x="101"/>
        <item x="8"/>
        <item x="5"/>
        <item x="35"/>
        <item x="85"/>
        <item x="113"/>
        <item x="33"/>
        <item x="20"/>
        <item x="112"/>
        <item x="23"/>
        <item x="107"/>
        <item x="111"/>
        <item x="120"/>
        <item x="16"/>
        <item x="3"/>
        <item x="24"/>
        <item x="25"/>
        <item x="41"/>
        <item x="86"/>
        <item x="118"/>
        <item x="100"/>
        <item x="66"/>
        <item x="140"/>
        <item x="109"/>
        <item x="121"/>
        <item x="99"/>
        <item x="83"/>
        <item x="131"/>
        <item x="2"/>
        <item x="63"/>
        <item x="92"/>
        <item x="139"/>
        <item x="126"/>
        <item x="110"/>
        <item x="7"/>
        <item x="47"/>
        <item x="60"/>
        <item x="141"/>
        <item x="105"/>
        <item x="98"/>
        <item x="76"/>
        <item x="49"/>
        <item x="125"/>
        <item x="84"/>
        <item x="62"/>
        <item x="145"/>
        <item x="6"/>
        <item x="146"/>
        <item x="102"/>
        <item x="18"/>
        <item x="15"/>
        <item x="104"/>
        <item x="70"/>
        <item x="78"/>
        <item x="61"/>
        <item x="56"/>
        <item x="97"/>
        <item x="40"/>
        <item x="147"/>
        <item x="103"/>
        <item x="93"/>
        <item x="19"/>
        <item t="default"/>
      </items>
    </pivotField>
    <pivotField axis="axisRow" showAll="0" defaultSubtotal="0">
      <items count="26">
        <item x="22"/>
        <item x="25"/>
        <item x="1"/>
        <item x="14"/>
        <item x="10"/>
        <item x="7"/>
        <item x="0"/>
        <item x="12"/>
        <item x="21"/>
        <item x="3"/>
        <item x="20"/>
        <item x="19"/>
        <item x="23"/>
        <item x="9"/>
        <item x="4"/>
        <item x="15"/>
        <item x="17"/>
        <item x="18"/>
        <item x="6"/>
        <item x="16"/>
        <item x="2"/>
        <item x="13"/>
        <item x="8"/>
        <item x="24"/>
        <item x="11"/>
        <item x="5"/>
      </items>
    </pivotField>
    <pivotField showAll="0"/>
    <pivotField showAll="0"/>
    <pivotField showAll="0"/>
    <pivotField showAll="0"/>
    <pivotField showAll="0"/>
    <pivotField axis="axisRow" showAll="0">
      <items count="4">
        <item n="Low performance" sd="0" x="0"/>
        <item n="Average Performance" sd="0" x="1"/>
        <item n="High Performance" sd="0" x="2"/>
        <item t="default"/>
      </items>
    </pivotField>
  </pivotFields>
  <rowFields count="2">
    <field x="15"/>
    <field x="9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_ID" fld="0" subtotal="count" baseField="15" baseItem="0"/>
    <dataField name="Average of Annual_Salary" fld="8" subtotal="average" baseField="15" baseItem="0" numFmtId="44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92F27-7277-4121-812E-D647BD342814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C21" firstHeaderRow="0" firstDataRow="1" firstDataCol="1"/>
  <pivotFields count="16">
    <pivotField dataField="1" showAll="0"/>
    <pivotField showAll="0"/>
    <pivotField showAll="0"/>
    <pivotField showAll="0"/>
    <pivotField axis="axisRow" showAll="0">
      <items count="7">
        <item x="1"/>
        <item x="5"/>
        <item x="4"/>
        <item x="2"/>
        <item x="0"/>
        <item x="3"/>
        <item t="default"/>
      </items>
    </pivotField>
    <pivotField showAll="0"/>
    <pivotField showAll="0"/>
    <pivotField showAll="0"/>
    <pivotField dataField="1" showAll="0"/>
    <pivotField showAll="0">
      <items count="27">
        <item x="22"/>
        <item x="25"/>
        <item x="1"/>
        <item x="14"/>
        <item x="10"/>
        <item x="7"/>
        <item x="0"/>
        <item x="12"/>
        <item x="21"/>
        <item x="3"/>
        <item x="20"/>
        <item x="19"/>
        <item x="23"/>
        <item x="9"/>
        <item x="4"/>
        <item x="15"/>
        <item x="17"/>
        <item x="18"/>
        <item x="6"/>
        <item x="16"/>
        <item x="2"/>
        <item x="13"/>
        <item x="8"/>
        <item x="24"/>
        <item x="11"/>
        <item x="5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mployee_ID" fld="0" subtotal="count" baseField="4" baseItem="0"/>
    <dataField name="Average of Annual_Salary" fld="8" subtotal="average" baseField="4" baseItem="0" numFmtId="44"/>
  </dataFields>
  <formats count="4"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9">
      <pivotArea field="4" type="button" dataOnly="0" labelOnly="1" outline="0" axis="axisRow" fieldPosition="0"/>
    </format>
    <format dxfId="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39E382-ED4E-478D-A3C9-51E0C17939A9}" name="PivotTable1" cacheId="12" applyNumberFormats="0" applyBorderFormats="0" applyFontFormats="0" applyPatternFormats="0" applyAlignmentFormats="0" applyWidthHeightFormats="1" dataCaption="Values" grandTotalCaption="Total" updatedVersion="8" minRefreshableVersion="3" useAutoFormatting="1" itemPrintTitles="1" createdVersion="8" indent="0" outline="1" outlineData="1" multipleFieldFilters="0" rowHeaderCaption="Department">
  <location ref="A2:E11" firstHeaderRow="0" firstDataRow="1" firstDataCol="1"/>
  <pivotFields count="16">
    <pivotField showAll="0"/>
    <pivotField showAll="0"/>
    <pivotField axis="axisRow" dataField="1" showAll="0">
      <items count="9">
        <item x="7"/>
        <item x="1"/>
        <item x="5"/>
        <item x="4"/>
        <item x="3"/>
        <item x="0"/>
        <item x="6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>
      <items count="27">
        <item x="22"/>
        <item x="25"/>
        <item x="1"/>
        <item x="14"/>
        <item x="10"/>
        <item x="7"/>
        <item x="0"/>
        <item x="12"/>
        <item x="21"/>
        <item x="3"/>
        <item x="20"/>
        <item x="19"/>
        <item x="23"/>
        <item x="9"/>
        <item x="4"/>
        <item x="15"/>
        <item x="17"/>
        <item x="18"/>
        <item x="6"/>
        <item x="16"/>
        <item x="2"/>
        <item x="13"/>
        <item x="8"/>
        <item x="24"/>
        <item x="11"/>
        <item x="5"/>
        <item t="default"/>
      </items>
    </pivotField>
    <pivotField showAll="0"/>
    <pivotField showAll="0"/>
    <pivotField dataField="1" showAll="0"/>
    <pivotField showAll="0"/>
    <pivotField showAll="0"/>
    <pivotField showAll="0">
      <items count="4">
        <item x="0"/>
        <item x="1"/>
        <item x="2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Employee_Count" fld="2" subtotal="count" baseField="0" baseItem="0"/>
    <dataField name="Average Annual Salary" fld="8" subtotal="average" baseField="2" baseItem="0" numFmtId="44"/>
    <dataField name="Average Performance Score" fld="9" subtotal="average" baseField="2" baseItem="0" numFmtId="2"/>
    <dataField name="Average Satisfaction Score" fld="12" subtotal="average" baseField="2" baseItem="0" numFmtId="2"/>
  </dataFields>
  <formats count="7">
    <format dxfId="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3">
      <pivotArea field="2" type="button" dataOnly="0" labelOnly="1" outline="0" axis="axisRow" fieldPosition="0"/>
    </format>
    <format dxfId="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">
      <pivotArea field="2" type="button" dataOnly="0" labelOnly="1" outline="0" axis="axisRow" fieldPosition="0"/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150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RData" displayName="HRData" ref="A1:O152" totalsRowShown="0" dataDxfId="27">
  <autoFilter ref="A1:O152" xr:uid="{00000000-0009-0000-0100-000001000000}"/>
  <tableColumns count="15">
    <tableColumn id="1" xr3:uid="{00000000-0010-0000-0000-000001000000}" name="Employee_ID" dataDxfId="26"/>
    <tableColumn id="2" xr3:uid="{00000000-0010-0000-0000-000002000000}" name="Full_Name" dataDxfId="25"/>
    <tableColumn id="3" xr3:uid="{00000000-0010-0000-0000-000003000000}" name="Department" dataDxfId="24"/>
    <tableColumn id="4" xr3:uid="{00000000-0010-0000-0000-000004000000}" name="Position" dataDxfId="23"/>
    <tableColumn id="5" xr3:uid="{00000000-0010-0000-0000-000005000000}" name="Location" dataDxfId="22"/>
    <tableColumn id="6" xr3:uid="{00000000-0010-0000-0000-000006000000}" name="Gender" dataDxfId="21"/>
    <tableColumn id="7" xr3:uid="{00000000-0010-0000-0000-000007000000}" name="Hire_Date" dataDxfId="20"/>
    <tableColumn id="8" xr3:uid="{00000000-0010-0000-0000-000008000000}" name="Years_at_Company" dataDxfId="19"/>
    <tableColumn id="9" xr3:uid="{00000000-0010-0000-0000-000009000000}" name="Annual_Salary" dataDxfId="18"/>
    <tableColumn id="10" xr3:uid="{00000000-0010-0000-0000-00000A000000}" name="Performance_Score" dataDxfId="17"/>
    <tableColumn id="11" xr3:uid="{00000000-0010-0000-0000-00000B000000}" name="Training_Hours" dataDxfId="16"/>
    <tableColumn id="12" xr3:uid="{00000000-0010-0000-0000-00000C000000}" name="Overtime_Hours" dataDxfId="15"/>
    <tableColumn id="13" xr3:uid="{00000000-0010-0000-0000-00000D000000}" name="Satisfaction_Score" dataDxfId="14"/>
    <tableColumn id="14" xr3:uid="{00000000-0010-0000-0000-00000E000000}" name="Projects_Completed" dataDxfId="13"/>
    <tableColumn id="15" xr3:uid="{00000000-0010-0000-0000-00000F000000}" name="Status" dataDxf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zoomScaleNormal="100" workbookViewId="0">
      <selection activeCell="B6" sqref="B6"/>
    </sheetView>
  </sheetViews>
  <sheetFormatPr defaultColWidth="8.6640625" defaultRowHeight="14.4" x14ac:dyDescent="0.3"/>
  <cols>
    <col min="1" max="1" width="25" customWidth="1"/>
    <col min="2" max="2" width="113.5546875" customWidth="1"/>
  </cols>
  <sheetData>
    <row r="1" spans="1:2" ht="19.5" customHeight="1" x14ac:dyDescent="0.35">
      <c r="A1" s="28" t="s">
        <v>0</v>
      </c>
      <c r="B1" s="28"/>
    </row>
    <row r="3" spans="1:2" ht="15" customHeight="1" x14ac:dyDescent="0.3">
      <c r="A3" s="1" t="s">
        <v>1</v>
      </c>
      <c r="B3" t="s">
        <v>2</v>
      </c>
    </row>
    <row r="4" spans="1:2" ht="15" customHeight="1" x14ac:dyDescent="0.3">
      <c r="A4" t="s">
        <v>3</v>
      </c>
      <c r="B4" s="9">
        <v>150</v>
      </c>
    </row>
    <row r="5" spans="1:2" ht="15" customHeight="1" x14ac:dyDescent="0.3">
      <c r="A5" t="s">
        <v>4</v>
      </c>
      <c r="B5" s="9">
        <v>15</v>
      </c>
    </row>
    <row r="6" spans="1:2" ht="15" customHeight="1" x14ac:dyDescent="0.3">
      <c r="A6" t="s">
        <v>5</v>
      </c>
      <c r="B6" t="s">
        <v>6</v>
      </c>
    </row>
    <row r="8" spans="1:2" ht="15" customHeight="1" x14ac:dyDescent="0.3">
      <c r="A8" s="1" t="s">
        <v>7</v>
      </c>
    </row>
    <row r="9" spans="1:2" ht="15" customHeight="1" x14ac:dyDescent="0.3">
      <c r="A9" t="s">
        <v>8</v>
      </c>
      <c r="B9" t="s">
        <v>9</v>
      </c>
    </row>
    <row r="10" spans="1:2" ht="15" customHeight="1" x14ac:dyDescent="0.3">
      <c r="A10" t="s">
        <v>10</v>
      </c>
      <c r="B10" t="s">
        <v>11</v>
      </c>
    </row>
    <row r="11" spans="1:2" ht="15" customHeight="1" x14ac:dyDescent="0.3">
      <c r="A11" t="s">
        <v>12</v>
      </c>
      <c r="B11" t="s">
        <v>13</v>
      </c>
    </row>
    <row r="12" spans="1:2" ht="15" customHeight="1" x14ac:dyDescent="0.3">
      <c r="A12" t="s">
        <v>14</v>
      </c>
      <c r="B12" t="s">
        <v>15</v>
      </c>
    </row>
    <row r="13" spans="1:2" ht="15" customHeight="1" x14ac:dyDescent="0.3">
      <c r="A13" t="s">
        <v>16</v>
      </c>
      <c r="B13" t="s">
        <v>17</v>
      </c>
    </row>
    <row r="14" spans="1:2" ht="15" customHeight="1" x14ac:dyDescent="0.3">
      <c r="A14" t="s">
        <v>18</v>
      </c>
      <c r="B14" t="s">
        <v>19</v>
      </c>
    </row>
    <row r="15" spans="1:2" ht="15" customHeight="1" x14ac:dyDescent="0.3">
      <c r="A15" t="s">
        <v>20</v>
      </c>
      <c r="B15" t="s">
        <v>21</v>
      </c>
    </row>
    <row r="16" spans="1:2" ht="15" customHeight="1" x14ac:dyDescent="0.3">
      <c r="A16" t="s">
        <v>22</v>
      </c>
      <c r="B16" t="s">
        <v>23</v>
      </c>
    </row>
    <row r="17" spans="1:2" ht="15" customHeight="1" x14ac:dyDescent="0.3">
      <c r="A17" t="s">
        <v>24</v>
      </c>
      <c r="B17" t="s">
        <v>25</v>
      </c>
    </row>
    <row r="18" spans="1:2" ht="15" customHeight="1" x14ac:dyDescent="0.3">
      <c r="A18" t="s">
        <v>26</v>
      </c>
      <c r="B18" t="s">
        <v>27</v>
      </c>
    </row>
    <row r="19" spans="1:2" ht="15" customHeight="1" x14ac:dyDescent="0.3">
      <c r="A19" t="s">
        <v>28</v>
      </c>
      <c r="B19" t="s">
        <v>29</v>
      </c>
    </row>
    <row r="20" spans="1:2" ht="15" customHeight="1" x14ac:dyDescent="0.3">
      <c r="A20" t="s">
        <v>30</v>
      </c>
      <c r="B20" t="s">
        <v>31</v>
      </c>
    </row>
    <row r="21" spans="1:2" ht="15" customHeight="1" x14ac:dyDescent="0.3">
      <c r="A21" t="s">
        <v>32</v>
      </c>
      <c r="B21" t="s">
        <v>33</v>
      </c>
    </row>
    <row r="22" spans="1:2" ht="15" customHeight="1" x14ac:dyDescent="0.3">
      <c r="A22" t="s">
        <v>34</v>
      </c>
      <c r="B22" t="s">
        <v>35</v>
      </c>
    </row>
    <row r="23" spans="1:2" ht="15" customHeight="1" x14ac:dyDescent="0.3">
      <c r="A23" t="s">
        <v>36</v>
      </c>
      <c r="B23" t="s">
        <v>37</v>
      </c>
    </row>
    <row r="25" spans="1:2" ht="15" customHeight="1" x14ac:dyDescent="0.3">
      <c r="A25" s="6" t="s">
        <v>38</v>
      </c>
    </row>
    <row r="26" spans="1:2" ht="15" customHeight="1" x14ac:dyDescent="0.3">
      <c r="A26" t="s">
        <v>39</v>
      </c>
      <c r="B26" t="s">
        <v>40</v>
      </c>
    </row>
    <row r="27" spans="1:2" ht="15" customHeight="1" x14ac:dyDescent="0.3">
      <c r="A27" t="s">
        <v>41</v>
      </c>
      <c r="B27" t="s">
        <v>20</v>
      </c>
    </row>
    <row r="28" spans="1:2" ht="15" customHeight="1" x14ac:dyDescent="0.3">
      <c r="A28" t="s">
        <v>42</v>
      </c>
      <c r="B28" t="s">
        <v>43</v>
      </c>
    </row>
    <row r="30" spans="1:2" ht="15" customHeight="1" x14ac:dyDescent="0.3">
      <c r="A30" s="6" t="s">
        <v>44</v>
      </c>
    </row>
    <row r="31" spans="1:2" ht="15" customHeight="1" x14ac:dyDescent="0.3">
      <c r="A31" t="s">
        <v>45</v>
      </c>
      <c r="B31" t="s">
        <v>46</v>
      </c>
    </row>
    <row r="32" spans="1:2" ht="15" customHeight="1" x14ac:dyDescent="0.3">
      <c r="A32" t="s">
        <v>47</v>
      </c>
      <c r="B32" t="s">
        <v>48</v>
      </c>
    </row>
    <row r="33" spans="1:2" ht="15" customHeight="1" x14ac:dyDescent="0.3">
      <c r="A33" t="s">
        <v>49</v>
      </c>
      <c r="B33" t="s">
        <v>50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2"/>
  <sheetViews>
    <sheetView zoomScaleNormal="100" workbookViewId="0">
      <selection activeCell="O2" sqref="O2"/>
    </sheetView>
  </sheetViews>
  <sheetFormatPr defaultColWidth="8.6640625" defaultRowHeight="14.4" x14ac:dyDescent="0.3"/>
  <cols>
    <col min="1" max="1" width="13" customWidth="1"/>
    <col min="2" max="2" width="26.6640625" customWidth="1"/>
    <col min="3" max="3" width="18" customWidth="1"/>
    <col min="4" max="4" width="23" customWidth="1"/>
    <col min="5" max="5" width="14.109375" customWidth="1"/>
    <col min="6" max="6" width="10" customWidth="1"/>
    <col min="7" max="7" width="12" customWidth="1"/>
    <col min="8" max="8" width="18" customWidth="1"/>
    <col min="9" max="9" width="15" customWidth="1"/>
    <col min="10" max="10" width="19" customWidth="1"/>
    <col min="11" max="12" width="16" customWidth="1"/>
    <col min="13" max="13" width="18.44140625" customWidth="1"/>
    <col min="14" max="14" width="20.44140625" customWidth="1"/>
    <col min="15" max="15" width="9.109375" customWidth="1"/>
  </cols>
  <sheetData>
    <row r="1" spans="1:15" ht="15" customHeight="1" x14ac:dyDescent="0.3">
      <c r="A1" s="2" t="s">
        <v>8</v>
      </c>
      <c r="B1" s="2" t="s">
        <v>10</v>
      </c>
      <c r="C1" s="2" t="s">
        <v>12</v>
      </c>
      <c r="D1" s="2" t="s">
        <v>14</v>
      </c>
      <c r="E1" s="2" t="s">
        <v>16</v>
      </c>
      <c r="F1" s="2" t="s">
        <v>18</v>
      </c>
      <c r="G1" s="2" t="s">
        <v>20</v>
      </c>
      <c r="H1" s="2" t="s">
        <v>22</v>
      </c>
      <c r="I1" s="2" t="s">
        <v>24</v>
      </c>
      <c r="J1" s="2" t="s">
        <v>26</v>
      </c>
      <c r="K1" s="2" t="s">
        <v>28</v>
      </c>
      <c r="L1" s="2" t="s">
        <v>30</v>
      </c>
      <c r="M1" s="2" t="s">
        <v>32</v>
      </c>
      <c r="N1" s="2" t="s">
        <v>34</v>
      </c>
      <c r="O1" s="2" t="s">
        <v>36</v>
      </c>
    </row>
    <row r="2" spans="1:15" ht="15" customHeight="1" x14ac:dyDescent="0.3">
      <c r="A2">
        <v>1001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>
        <v>6.7</v>
      </c>
      <c r="I2">
        <v>52012</v>
      </c>
      <c r="J2">
        <v>3.1</v>
      </c>
      <c r="K2">
        <v>17</v>
      </c>
      <c r="L2">
        <v>23</v>
      </c>
      <c r="M2">
        <v>5</v>
      </c>
      <c r="N2">
        <v>22</v>
      </c>
      <c r="O2" t="s">
        <v>57</v>
      </c>
    </row>
    <row r="3" spans="1:15" ht="15" customHeight="1" x14ac:dyDescent="0.3">
      <c r="A3">
        <v>1002</v>
      </c>
      <c r="C3" t="s">
        <v>58</v>
      </c>
      <c r="D3" t="s">
        <v>59</v>
      </c>
      <c r="E3" t="s">
        <v>54</v>
      </c>
      <c r="F3" t="s">
        <v>60</v>
      </c>
      <c r="G3" t="s">
        <v>61</v>
      </c>
      <c r="H3">
        <v>6.6</v>
      </c>
      <c r="I3">
        <v>60976</v>
      </c>
      <c r="J3">
        <v>2.7</v>
      </c>
      <c r="K3">
        <v>29</v>
      </c>
      <c r="L3">
        <v>16</v>
      </c>
      <c r="M3">
        <v>9</v>
      </c>
      <c r="N3">
        <v>1</v>
      </c>
      <c r="O3" t="s">
        <v>57</v>
      </c>
    </row>
    <row r="4" spans="1:15" ht="15" customHeight="1" x14ac:dyDescent="0.3">
      <c r="A4">
        <v>1003</v>
      </c>
      <c r="B4" t="s">
        <v>62</v>
      </c>
      <c r="D4" t="s">
        <v>63</v>
      </c>
      <c r="E4" t="s">
        <v>64</v>
      </c>
      <c r="F4" t="s">
        <v>55</v>
      </c>
      <c r="G4" t="s">
        <v>65</v>
      </c>
      <c r="H4">
        <v>3.5</v>
      </c>
      <c r="I4">
        <v>84115</v>
      </c>
      <c r="J4">
        <v>4.5</v>
      </c>
      <c r="K4">
        <v>0</v>
      </c>
      <c r="L4">
        <v>24</v>
      </c>
      <c r="M4">
        <v>6</v>
      </c>
      <c r="N4">
        <v>23</v>
      </c>
      <c r="O4" t="s">
        <v>57</v>
      </c>
    </row>
    <row r="5" spans="1:15" ht="15" customHeight="1" x14ac:dyDescent="0.3">
      <c r="A5">
        <v>1004</v>
      </c>
      <c r="B5" t="s">
        <v>66</v>
      </c>
      <c r="C5" t="s">
        <v>67</v>
      </c>
      <c r="E5" t="s">
        <v>68</v>
      </c>
      <c r="F5" t="s">
        <v>60</v>
      </c>
      <c r="G5" t="s">
        <v>69</v>
      </c>
      <c r="H5">
        <v>6.3</v>
      </c>
      <c r="I5">
        <v>78039</v>
      </c>
      <c r="J5">
        <v>3.4</v>
      </c>
      <c r="K5">
        <v>45</v>
      </c>
      <c r="L5">
        <v>27</v>
      </c>
      <c r="M5">
        <v>7</v>
      </c>
      <c r="N5">
        <v>20</v>
      </c>
      <c r="O5" t="s">
        <v>57</v>
      </c>
    </row>
    <row r="6" spans="1:15" ht="15" customHeight="1" x14ac:dyDescent="0.3">
      <c r="A6">
        <v>1005</v>
      </c>
      <c r="B6" t="e" cm="1" vm="1">
        <f t="array" aca="1" ref="B6" ca="1">'Raw Data'!A2:A152</f>
        <v>#VALUE!</v>
      </c>
      <c r="C6" t="s">
        <v>58</v>
      </c>
      <c r="D6" t="s">
        <v>70</v>
      </c>
      <c r="F6" t="s">
        <v>55</v>
      </c>
      <c r="G6" t="s">
        <v>71</v>
      </c>
      <c r="H6">
        <v>4.7</v>
      </c>
      <c r="I6">
        <v>52582</v>
      </c>
      <c r="J6">
        <v>3.9</v>
      </c>
      <c r="K6">
        <v>80</v>
      </c>
      <c r="L6">
        <v>19</v>
      </c>
      <c r="M6">
        <v>7</v>
      </c>
      <c r="N6">
        <v>19</v>
      </c>
      <c r="O6" t="s">
        <v>57</v>
      </c>
    </row>
    <row r="7" spans="1:15" ht="15" customHeight="1" x14ac:dyDescent="0.3">
      <c r="A7">
        <v>1006</v>
      </c>
      <c r="B7" t="s">
        <v>72</v>
      </c>
      <c r="C7" t="s">
        <v>52</v>
      </c>
      <c r="D7" t="s">
        <v>53</v>
      </c>
      <c r="E7" t="s">
        <v>64</v>
      </c>
      <c r="G7" t="s">
        <v>73</v>
      </c>
      <c r="H7">
        <v>2.5</v>
      </c>
      <c r="J7">
        <v>5</v>
      </c>
      <c r="K7">
        <v>29</v>
      </c>
      <c r="L7">
        <v>27</v>
      </c>
      <c r="M7">
        <v>5</v>
      </c>
      <c r="N7">
        <v>13</v>
      </c>
      <c r="O7" t="s">
        <v>57</v>
      </c>
    </row>
    <row r="8" spans="1:15" ht="15" customHeight="1" x14ac:dyDescent="0.3">
      <c r="A8">
        <v>1007</v>
      </c>
      <c r="B8" t="s">
        <v>74</v>
      </c>
      <c r="C8" t="s">
        <v>75</v>
      </c>
      <c r="D8" t="s">
        <v>76</v>
      </c>
      <c r="E8" t="s">
        <v>77</v>
      </c>
      <c r="F8" t="s">
        <v>55</v>
      </c>
      <c r="H8">
        <v>5.7</v>
      </c>
      <c r="I8">
        <v>98748</v>
      </c>
      <c r="J8">
        <v>4.3</v>
      </c>
      <c r="K8">
        <v>9</v>
      </c>
      <c r="L8">
        <v>19</v>
      </c>
      <c r="M8">
        <v>10</v>
      </c>
      <c r="N8">
        <v>6</v>
      </c>
      <c r="O8" t="s">
        <v>57</v>
      </c>
    </row>
    <row r="9" spans="1:15" ht="15" customHeight="1" x14ac:dyDescent="0.3">
      <c r="A9">
        <v>1008</v>
      </c>
      <c r="B9" t="s">
        <v>78</v>
      </c>
      <c r="C9" t="s">
        <v>79</v>
      </c>
      <c r="D9" t="s">
        <v>80</v>
      </c>
      <c r="E9" t="s">
        <v>64</v>
      </c>
      <c r="F9" t="s">
        <v>60</v>
      </c>
      <c r="G9" t="s">
        <v>81</v>
      </c>
      <c r="I9">
        <v>88250</v>
      </c>
      <c r="J9">
        <v>3</v>
      </c>
      <c r="K9">
        <v>41</v>
      </c>
      <c r="L9">
        <v>26</v>
      </c>
      <c r="M9">
        <v>5</v>
      </c>
      <c r="N9">
        <v>8</v>
      </c>
      <c r="O9" t="s">
        <v>57</v>
      </c>
    </row>
    <row r="10" spans="1:15" ht="15" customHeight="1" x14ac:dyDescent="0.3">
      <c r="A10">
        <v>1009</v>
      </c>
      <c r="B10" t="s">
        <v>82</v>
      </c>
      <c r="C10" t="s">
        <v>75</v>
      </c>
      <c r="D10" t="s">
        <v>83</v>
      </c>
      <c r="E10" t="s">
        <v>84</v>
      </c>
      <c r="F10" t="s">
        <v>55</v>
      </c>
      <c r="G10" t="s">
        <v>85</v>
      </c>
      <c r="H10">
        <v>5.6</v>
      </c>
      <c r="J10">
        <v>4.7</v>
      </c>
      <c r="K10">
        <v>40</v>
      </c>
      <c r="L10">
        <v>6</v>
      </c>
      <c r="M10">
        <v>10</v>
      </c>
      <c r="N10">
        <v>16</v>
      </c>
      <c r="O10" t="s">
        <v>57</v>
      </c>
    </row>
    <row r="11" spans="1:15" ht="15" customHeight="1" x14ac:dyDescent="0.3">
      <c r="A11">
        <v>1010</v>
      </c>
      <c r="B11" t="s">
        <v>86</v>
      </c>
      <c r="C11" t="s">
        <v>75</v>
      </c>
      <c r="D11" t="s">
        <v>87</v>
      </c>
      <c r="E11" t="s">
        <v>77</v>
      </c>
      <c r="F11" t="s">
        <v>60</v>
      </c>
      <c r="G11" t="s">
        <v>88</v>
      </c>
      <c r="H11">
        <v>5.4</v>
      </c>
      <c r="I11">
        <v>58394</v>
      </c>
      <c r="J11">
        <v>3.8</v>
      </c>
      <c r="K11">
        <v>74</v>
      </c>
      <c r="L11">
        <v>13</v>
      </c>
      <c r="M11">
        <v>9</v>
      </c>
      <c r="N11">
        <v>13</v>
      </c>
      <c r="O11" t="s">
        <v>57</v>
      </c>
    </row>
    <row r="12" spans="1:15" ht="15" customHeight="1" x14ac:dyDescent="0.3">
      <c r="A12">
        <v>1011</v>
      </c>
      <c r="B12" t="s">
        <v>89</v>
      </c>
      <c r="C12" t="s">
        <v>90</v>
      </c>
      <c r="D12" t="s">
        <v>91</v>
      </c>
      <c r="E12" t="s">
        <v>84</v>
      </c>
      <c r="F12" t="s">
        <v>60</v>
      </c>
      <c r="G12" t="s">
        <v>92</v>
      </c>
      <c r="H12">
        <v>2</v>
      </c>
      <c r="I12">
        <v>43592</v>
      </c>
      <c r="J12">
        <v>2.9</v>
      </c>
      <c r="L12">
        <v>25</v>
      </c>
      <c r="M12">
        <v>10</v>
      </c>
      <c r="N12">
        <v>14</v>
      </c>
      <c r="O12" t="s">
        <v>57</v>
      </c>
    </row>
    <row r="13" spans="1:15" ht="15" customHeight="1" x14ac:dyDescent="0.3">
      <c r="A13">
        <v>1012</v>
      </c>
      <c r="B13" t="s">
        <v>93</v>
      </c>
      <c r="C13" t="s">
        <v>58</v>
      </c>
      <c r="D13" t="s">
        <v>59</v>
      </c>
      <c r="E13" t="s">
        <v>54</v>
      </c>
      <c r="F13" t="s">
        <v>60</v>
      </c>
      <c r="G13" t="s">
        <v>94</v>
      </c>
      <c r="H13">
        <v>3.9</v>
      </c>
      <c r="I13">
        <v>68238</v>
      </c>
      <c r="J13">
        <v>4.9000000000000004</v>
      </c>
      <c r="M13">
        <v>10</v>
      </c>
      <c r="N13">
        <v>4</v>
      </c>
      <c r="O13" t="s">
        <v>57</v>
      </c>
    </row>
    <row r="14" spans="1:15" ht="15" customHeight="1" x14ac:dyDescent="0.3">
      <c r="A14">
        <v>1013</v>
      </c>
      <c r="B14" t="s">
        <v>95</v>
      </c>
      <c r="C14" t="s">
        <v>96</v>
      </c>
      <c r="D14" t="s">
        <v>97</v>
      </c>
      <c r="E14" t="s">
        <v>64</v>
      </c>
      <c r="F14" t="s">
        <v>55</v>
      </c>
      <c r="G14" t="s">
        <v>98</v>
      </c>
      <c r="H14">
        <v>4.9000000000000004</v>
      </c>
      <c r="I14">
        <v>53655</v>
      </c>
      <c r="J14">
        <v>3.2</v>
      </c>
      <c r="K14">
        <v>20</v>
      </c>
      <c r="L14">
        <v>14</v>
      </c>
      <c r="N14">
        <v>24</v>
      </c>
      <c r="O14" t="s">
        <v>57</v>
      </c>
    </row>
    <row r="15" spans="1:15" ht="15" customHeight="1" x14ac:dyDescent="0.3">
      <c r="A15">
        <v>1014</v>
      </c>
      <c r="B15" t="s">
        <v>99</v>
      </c>
      <c r="C15" t="s">
        <v>58</v>
      </c>
      <c r="D15" t="s">
        <v>70</v>
      </c>
      <c r="E15" t="s">
        <v>77</v>
      </c>
      <c r="F15" t="s">
        <v>55</v>
      </c>
      <c r="G15" t="s">
        <v>100</v>
      </c>
      <c r="H15">
        <v>1.9</v>
      </c>
      <c r="I15">
        <v>59779</v>
      </c>
      <c r="J15">
        <v>4.5999999999999996</v>
      </c>
      <c r="K15">
        <v>64</v>
      </c>
      <c r="L15">
        <v>19</v>
      </c>
      <c r="M15">
        <v>6</v>
      </c>
      <c r="O15" t="s">
        <v>57</v>
      </c>
    </row>
    <row r="16" spans="1:15" ht="15" customHeight="1" x14ac:dyDescent="0.3">
      <c r="A16">
        <v>1015</v>
      </c>
      <c r="B16" t="s">
        <v>101</v>
      </c>
      <c r="C16" t="s">
        <v>58</v>
      </c>
      <c r="D16" t="s">
        <v>59</v>
      </c>
      <c r="E16" t="s">
        <v>54</v>
      </c>
      <c r="F16" t="s">
        <v>55</v>
      </c>
      <c r="G16" t="s">
        <v>102</v>
      </c>
      <c r="H16">
        <v>4.0999999999999996</v>
      </c>
      <c r="I16">
        <v>60638</v>
      </c>
      <c r="J16">
        <v>2.8</v>
      </c>
      <c r="K16">
        <v>46</v>
      </c>
      <c r="L16">
        <v>28</v>
      </c>
      <c r="M16">
        <v>7</v>
      </c>
      <c r="N16">
        <v>8</v>
      </c>
    </row>
    <row r="17" spans="1:15" ht="15" customHeight="1" x14ac:dyDescent="0.3">
      <c r="A17">
        <v>1016</v>
      </c>
      <c r="B17" t="s">
        <v>103</v>
      </c>
      <c r="C17" t="s">
        <v>90</v>
      </c>
      <c r="D17" t="s">
        <v>104</v>
      </c>
      <c r="E17" t="s">
        <v>54</v>
      </c>
      <c r="F17" t="s">
        <v>55</v>
      </c>
      <c r="G17" t="s">
        <v>105</v>
      </c>
      <c r="H17">
        <v>4.0999999999999996</v>
      </c>
      <c r="I17">
        <v>117267</v>
      </c>
      <c r="K17">
        <v>68</v>
      </c>
      <c r="L17">
        <v>24</v>
      </c>
      <c r="M17">
        <v>6</v>
      </c>
      <c r="N17">
        <v>5</v>
      </c>
      <c r="O17" t="s">
        <v>57</v>
      </c>
    </row>
    <row r="18" spans="1:15" ht="15" customHeight="1" x14ac:dyDescent="0.3">
      <c r="A18">
        <v>1017</v>
      </c>
      <c r="B18" t="s">
        <v>106</v>
      </c>
      <c r="C18" t="s">
        <v>75</v>
      </c>
      <c r="D18" t="s">
        <v>107</v>
      </c>
      <c r="E18" t="s">
        <v>64</v>
      </c>
      <c r="F18" t="s">
        <v>60</v>
      </c>
      <c r="G18" t="s">
        <v>108</v>
      </c>
      <c r="H18">
        <v>5.6</v>
      </c>
      <c r="I18">
        <v>77671</v>
      </c>
      <c r="J18">
        <v>4.4000000000000004</v>
      </c>
      <c r="K18">
        <v>25</v>
      </c>
      <c r="L18">
        <v>22</v>
      </c>
      <c r="M18">
        <v>7</v>
      </c>
      <c r="N18">
        <v>13</v>
      </c>
      <c r="O18" t="s">
        <v>57</v>
      </c>
    </row>
    <row r="19" spans="1:15" ht="15" customHeight="1" x14ac:dyDescent="0.3">
      <c r="A19">
        <v>1018</v>
      </c>
      <c r="B19" t="s">
        <v>109</v>
      </c>
      <c r="C19" t="s">
        <v>58</v>
      </c>
      <c r="D19" t="s">
        <v>59</v>
      </c>
      <c r="E19" t="s">
        <v>77</v>
      </c>
      <c r="F19" t="s">
        <v>55</v>
      </c>
      <c r="G19" t="s">
        <v>110</v>
      </c>
      <c r="H19">
        <v>6.1</v>
      </c>
      <c r="I19">
        <v>68123</v>
      </c>
      <c r="J19">
        <v>3.1</v>
      </c>
      <c r="K19">
        <v>43</v>
      </c>
      <c r="L19">
        <v>0</v>
      </c>
      <c r="M19">
        <v>9</v>
      </c>
      <c r="N19">
        <v>18</v>
      </c>
      <c r="O19" t="s">
        <v>57</v>
      </c>
    </row>
    <row r="20" spans="1:15" ht="15" customHeight="1" x14ac:dyDescent="0.3">
      <c r="A20">
        <v>1019</v>
      </c>
      <c r="B20" t="s">
        <v>111</v>
      </c>
      <c r="C20" t="s">
        <v>90</v>
      </c>
      <c r="D20" t="s">
        <v>104</v>
      </c>
      <c r="E20" t="s">
        <v>64</v>
      </c>
      <c r="F20" t="s">
        <v>60</v>
      </c>
      <c r="G20" t="s">
        <v>112</v>
      </c>
      <c r="H20">
        <v>3.3</v>
      </c>
      <c r="I20">
        <v>116929</v>
      </c>
      <c r="J20">
        <v>3.1</v>
      </c>
      <c r="K20">
        <v>4</v>
      </c>
      <c r="L20">
        <v>27</v>
      </c>
      <c r="M20">
        <v>7</v>
      </c>
      <c r="N20">
        <v>3</v>
      </c>
      <c r="O20" t="s">
        <v>57</v>
      </c>
    </row>
    <row r="21" spans="1:15" ht="15" customHeight="1" x14ac:dyDescent="0.3">
      <c r="A21">
        <v>1020</v>
      </c>
      <c r="B21" t="s">
        <v>113</v>
      </c>
      <c r="C21" t="s">
        <v>67</v>
      </c>
      <c r="D21" t="s">
        <v>114</v>
      </c>
      <c r="E21" t="s">
        <v>68</v>
      </c>
      <c r="F21" t="s">
        <v>60</v>
      </c>
      <c r="G21" t="s">
        <v>115</v>
      </c>
      <c r="H21">
        <v>6.1</v>
      </c>
      <c r="I21">
        <v>143711</v>
      </c>
      <c r="J21">
        <v>3.9</v>
      </c>
      <c r="K21">
        <v>31</v>
      </c>
      <c r="L21">
        <v>25</v>
      </c>
      <c r="M21">
        <v>8</v>
      </c>
      <c r="N21">
        <v>14</v>
      </c>
      <c r="O21" t="s">
        <v>57</v>
      </c>
    </row>
    <row r="22" spans="1:15" ht="15" customHeight="1" x14ac:dyDescent="0.3">
      <c r="A22">
        <v>1021</v>
      </c>
      <c r="B22" t="s">
        <v>116</v>
      </c>
      <c r="C22" t="s">
        <v>75</v>
      </c>
      <c r="D22" t="s">
        <v>107</v>
      </c>
      <c r="E22" t="s">
        <v>84</v>
      </c>
      <c r="F22" t="s">
        <v>60</v>
      </c>
      <c r="G22" t="s">
        <v>117</v>
      </c>
      <c r="H22">
        <v>4.5</v>
      </c>
      <c r="I22">
        <v>75303</v>
      </c>
      <c r="J22">
        <v>0</v>
      </c>
      <c r="K22">
        <v>6</v>
      </c>
      <c r="L22">
        <v>21</v>
      </c>
      <c r="M22">
        <v>10</v>
      </c>
      <c r="N22">
        <v>21</v>
      </c>
      <c r="O22" t="s">
        <v>118</v>
      </c>
    </row>
    <row r="23" spans="1:15" ht="15" customHeight="1" x14ac:dyDescent="0.3">
      <c r="A23">
        <v>1022</v>
      </c>
      <c r="B23" t="s">
        <v>119</v>
      </c>
      <c r="C23" t="s">
        <v>96</v>
      </c>
      <c r="D23" t="s">
        <v>120</v>
      </c>
      <c r="E23" t="s">
        <v>77</v>
      </c>
      <c r="F23" t="s">
        <v>55</v>
      </c>
      <c r="G23" t="s">
        <v>121</v>
      </c>
      <c r="H23">
        <v>5.4</v>
      </c>
      <c r="I23">
        <v>39278</v>
      </c>
      <c r="J23">
        <v>3</v>
      </c>
      <c r="K23">
        <v>57</v>
      </c>
      <c r="L23">
        <v>4</v>
      </c>
      <c r="M23">
        <v>8</v>
      </c>
      <c r="N23">
        <v>6</v>
      </c>
      <c r="O23" t="s">
        <v>57</v>
      </c>
    </row>
    <row r="24" spans="1:15" ht="15" customHeight="1" x14ac:dyDescent="0.3">
      <c r="A24">
        <v>1023</v>
      </c>
      <c r="B24" t="s">
        <v>122</v>
      </c>
      <c r="C24" t="s">
        <v>79</v>
      </c>
      <c r="D24" t="s">
        <v>123</v>
      </c>
      <c r="E24" t="s">
        <v>77</v>
      </c>
      <c r="F24" t="s">
        <v>55</v>
      </c>
      <c r="G24" t="s">
        <v>124</v>
      </c>
      <c r="H24">
        <v>6.3</v>
      </c>
      <c r="I24">
        <v>48657</v>
      </c>
      <c r="J24">
        <v>4.0999999999999996</v>
      </c>
      <c r="K24">
        <v>69</v>
      </c>
      <c r="L24">
        <v>26</v>
      </c>
      <c r="M24">
        <v>5</v>
      </c>
      <c r="N24">
        <v>3</v>
      </c>
      <c r="O24" t="s">
        <v>57</v>
      </c>
    </row>
    <row r="25" spans="1:15" ht="15" customHeight="1" x14ac:dyDescent="0.3">
      <c r="A25">
        <v>1024</v>
      </c>
      <c r="B25" t="s">
        <v>125</v>
      </c>
      <c r="C25" t="s">
        <v>79</v>
      </c>
      <c r="D25" t="s">
        <v>80</v>
      </c>
      <c r="F25" t="s">
        <v>60</v>
      </c>
      <c r="G25" t="s">
        <v>126</v>
      </c>
      <c r="H25">
        <v>4.0999999999999996</v>
      </c>
      <c r="I25">
        <v>77004</v>
      </c>
      <c r="J25">
        <v>4.7</v>
      </c>
      <c r="K25">
        <v>7</v>
      </c>
      <c r="L25">
        <v>5</v>
      </c>
      <c r="M25">
        <v>8</v>
      </c>
      <c r="N25">
        <v>1</v>
      </c>
      <c r="O25" t="s">
        <v>57</v>
      </c>
    </row>
    <row r="26" spans="1:15" ht="15" customHeight="1" x14ac:dyDescent="0.3">
      <c r="A26">
        <v>1025</v>
      </c>
      <c r="B26" t="s">
        <v>127</v>
      </c>
      <c r="C26" t="s">
        <v>75</v>
      </c>
      <c r="D26" t="s">
        <v>107</v>
      </c>
      <c r="E26" t="s">
        <v>68</v>
      </c>
      <c r="F26" t="s">
        <v>55</v>
      </c>
      <c r="G26" t="s">
        <v>128</v>
      </c>
      <c r="H26">
        <v>2.9</v>
      </c>
      <c r="I26">
        <v>78211</v>
      </c>
      <c r="J26">
        <v>4.2</v>
      </c>
      <c r="K26">
        <v>62</v>
      </c>
      <c r="L26">
        <v>4</v>
      </c>
      <c r="M26">
        <v>6</v>
      </c>
      <c r="N26">
        <v>10</v>
      </c>
      <c r="O26" t="s">
        <v>57</v>
      </c>
    </row>
    <row r="27" spans="1:15" ht="15" customHeight="1" x14ac:dyDescent="0.3">
      <c r="A27">
        <v>1026</v>
      </c>
      <c r="B27" t="s">
        <v>129</v>
      </c>
      <c r="C27" t="s">
        <v>52</v>
      </c>
      <c r="D27" t="s">
        <v>130</v>
      </c>
      <c r="E27" t="s">
        <v>54</v>
      </c>
      <c r="F27" t="s">
        <v>55</v>
      </c>
      <c r="G27" t="s">
        <v>131</v>
      </c>
      <c r="H27">
        <v>6.5</v>
      </c>
      <c r="I27">
        <v>78643</v>
      </c>
      <c r="J27">
        <v>4</v>
      </c>
      <c r="K27">
        <v>64</v>
      </c>
      <c r="L27">
        <v>29</v>
      </c>
      <c r="M27">
        <v>9</v>
      </c>
      <c r="N27">
        <v>6</v>
      </c>
      <c r="O27" t="s">
        <v>118</v>
      </c>
    </row>
    <row r="28" spans="1:15" ht="15" customHeight="1" x14ac:dyDescent="0.3">
      <c r="A28">
        <v>1027</v>
      </c>
      <c r="B28" t="s">
        <v>132</v>
      </c>
      <c r="C28" t="s">
        <v>96</v>
      </c>
      <c r="D28" t="s">
        <v>120</v>
      </c>
      <c r="E28" t="s">
        <v>54</v>
      </c>
      <c r="F28" t="s">
        <v>55</v>
      </c>
      <c r="G28" t="s">
        <v>133</v>
      </c>
      <c r="H28">
        <v>6.4</v>
      </c>
      <c r="I28">
        <v>52498</v>
      </c>
      <c r="J28">
        <v>2.7</v>
      </c>
      <c r="K28">
        <v>30</v>
      </c>
      <c r="L28">
        <v>12</v>
      </c>
      <c r="M28">
        <v>5</v>
      </c>
      <c r="N28">
        <v>19</v>
      </c>
      <c r="O28" t="s">
        <v>57</v>
      </c>
    </row>
    <row r="29" spans="1:15" ht="15" customHeight="1" x14ac:dyDescent="0.3">
      <c r="A29">
        <v>1028</v>
      </c>
      <c r="B29" t="s">
        <v>134</v>
      </c>
      <c r="C29" t="s">
        <v>58</v>
      </c>
      <c r="D29" t="s">
        <v>70</v>
      </c>
      <c r="E29" t="s">
        <v>64</v>
      </c>
      <c r="F29" t="s">
        <v>55</v>
      </c>
      <c r="G29" t="s">
        <v>135</v>
      </c>
      <c r="H29">
        <v>4.5</v>
      </c>
      <c r="I29">
        <v>69125</v>
      </c>
      <c r="J29">
        <v>3.9</v>
      </c>
      <c r="K29">
        <v>40</v>
      </c>
      <c r="L29">
        <v>29</v>
      </c>
      <c r="M29">
        <v>7</v>
      </c>
      <c r="N29">
        <v>7</v>
      </c>
      <c r="O29" t="s">
        <v>57</v>
      </c>
    </row>
    <row r="30" spans="1:15" ht="15" customHeight="1" x14ac:dyDescent="0.3">
      <c r="A30">
        <v>1029</v>
      </c>
      <c r="B30" t="s">
        <v>136</v>
      </c>
      <c r="C30" t="s">
        <v>75</v>
      </c>
      <c r="D30" t="s">
        <v>107</v>
      </c>
      <c r="E30" t="s">
        <v>68</v>
      </c>
      <c r="F30" t="s">
        <v>55</v>
      </c>
      <c r="G30" t="s">
        <v>137</v>
      </c>
      <c r="H30">
        <v>6.1</v>
      </c>
      <c r="I30">
        <v>69830</v>
      </c>
      <c r="J30">
        <v>3.6</v>
      </c>
      <c r="K30">
        <v>9</v>
      </c>
      <c r="L30">
        <v>0</v>
      </c>
      <c r="M30">
        <v>8</v>
      </c>
      <c r="N30">
        <v>20</v>
      </c>
      <c r="O30" t="s">
        <v>57</v>
      </c>
    </row>
    <row r="31" spans="1:15" ht="15" customHeight="1" x14ac:dyDescent="0.3">
      <c r="A31">
        <v>1030</v>
      </c>
      <c r="B31" t="s">
        <v>138</v>
      </c>
      <c r="C31" t="s">
        <v>58</v>
      </c>
      <c r="D31" t="s">
        <v>70</v>
      </c>
      <c r="E31" t="s">
        <v>77</v>
      </c>
      <c r="F31" t="s">
        <v>60</v>
      </c>
      <c r="G31" t="s">
        <v>139</v>
      </c>
      <c r="H31">
        <v>4</v>
      </c>
      <c r="I31">
        <v>58690</v>
      </c>
      <c r="J31">
        <v>2.8</v>
      </c>
      <c r="K31">
        <v>44</v>
      </c>
      <c r="L31">
        <v>28</v>
      </c>
      <c r="M31">
        <v>5</v>
      </c>
      <c r="N31">
        <v>8</v>
      </c>
      <c r="O31" t="s">
        <v>57</v>
      </c>
    </row>
    <row r="32" spans="1:15" ht="15" customHeight="1" x14ac:dyDescent="0.3">
      <c r="A32">
        <v>1031</v>
      </c>
      <c r="B32" t="s">
        <v>140</v>
      </c>
      <c r="C32" t="s">
        <v>96</v>
      </c>
      <c r="D32" t="s">
        <v>97</v>
      </c>
      <c r="E32" t="s">
        <v>68</v>
      </c>
      <c r="F32" t="s">
        <v>55</v>
      </c>
      <c r="G32" t="s">
        <v>141</v>
      </c>
      <c r="H32">
        <v>2.9</v>
      </c>
      <c r="I32">
        <v>59912</v>
      </c>
      <c r="J32">
        <v>4</v>
      </c>
      <c r="K32">
        <v>67</v>
      </c>
      <c r="L32">
        <v>0</v>
      </c>
      <c r="M32">
        <v>10</v>
      </c>
      <c r="N32">
        <v>18</v>
      </c>
      <c r="O32" t="s">
        <v>57</v>
      </c>
    </row>
    <row r="33" spans="1:15" ht="15" customHeight="1" x14ac:dyDescent="0.3">
      <c r="A33">
        <v>1032</v>
      </c>
      <c r="B33" t="s">
        <v>142</v>
      </c>
      <c r="C33" t="s">
        <v>75</v>
      </c>
      <c r="D33" t="s">
        <v>83</v>
      </c>
      <c r="E33" t="s">
        <v>64</v>
      </c>
      <c r="F33" t="s">
        <v>55</v>
      </c>
      <c r="G33" t="s">
        <v>143</v>
      </c>
      <c r="H33">
        <v>1.8</v>
      </c>
      <c r="I33">
        <v>68507</v>
      </c>
      <c r="J33">
        <v>4.4000000000000004</v>
      </c>
      <c r="K33">
        <v>19</v>
      </c>
      <c r="L33">
        <v>8</v>
      </c>
      <c r="M33">
        <v>7</v>
      </c>
      <c r="N33">
        <v>20</v>
      </c>
      <c r="O33" t="s">
        <v>57</v>
      </c>
    </row>
    <row r="34" spans="1:15" ht="15" customHeight="1" x14ac:dyDescent="0.3">
      <c r="A34">
        <v>1033</v>
      </c>
      <c r="B34" t="s">
        <v>144</v>
      </c>
      <c r="C34" t="s">
        <v>52</v>
      </c>
      <c r="D34" t="s">
        <v>145</v>
      </c>
      <c r="E34" t="s">
        <v>64</v>
      </c>
      <c r="F34" t="s">
        <v>55</v>
      </c>
      <c r="G34" t="s">
        <v>146</v>
      </c>
      <c r="H34">
        <v>2</v>
      </c>
      <c r="I34">
        <v>53650</v>
      </c>
      <c r="J34">
        <v>3.8</v>
      </c>
      <c r="K34">
        <v>0</v>
      </c>
      <c r="L34">
        <v>28</v>
      </c>
      <c r="M34">
        <v>5</v>
      </c>
      <c r="N34">
        <v>3</v>
      </c>
      <c r="O34" t="s">
        <v>57</v>
      </c>
    </row>
    <row r="35" spans="1:15" ht="15" customHeight="1" x14ac:dyDescent="0.3">
      <c r="A35">
        <v>1034</v>
      </c>
      <c r="B35" t="s">
        <v>147</v>
      </c>
      <c r="C35" t="s">
        <v>90</v>
      </c>
      <c r="D35" t="s">
        <v>148</v>
      </c>
      <c r="E35" t="s">
        <v>84</v>
      </c>
      <c r="F35" t="s">
        <v>55</v>
      </c>
      <c r="G35" t="s">
        <v>149</v>
      </c>
      <c r="H35">
        <v>2.5</v>
      </c>
      <c r="I35">
        <v>74286</v>
      </c>
      <c r="J35">
        <v>4.0999999999999996</v>
      </c>
      <c r="K35">
        <v>33</v>
      </c>
      <c r="L35">
        <v>5</v>
      </c>
      <c r="M35">
        <v>10</v>
      </c>
      <c r="N35">
        <v>15</v>
      </c>
      <c r="O35" t="s">
        <v>57</v>
      </c>
    </row>
    <row r="36" spans="1:15" ht="15" customHeight="1" x14ac:dyDescent="0.3">
      <c r="A36">
        <v>1035</v>
      </c>
      <c r="B36" t="s">
        <v>150</v>
      </c>
      <c r="C36" t="s">
        <v>90</v>
      </c>
      <c r="D36" t="s">
        <v>91</v>
      </c>
      <c r="E36" t="s">
        <v>68</v>
      </c>
      <c r="F36" t="s">
        <v>60</v>
      </c>
      <c r="G36" t="s">
        <v>151</v>
      </c>
      <c r="H36">
        <v>1.9</v>
      </c>
      <c r="I36">
        <v>44884</v>
      </c>
      <c r="J36">
        <v>3.9</v>
      </c>
      <c r="K36">
        <v>47</v>
      </c>
      <c r="L36">
        <v>18</v>
      </c>
      <c r="M36">
        <v>9</v>
      </c>
      <c r="N36">
        <v>5</v>
      </c>
      <c r="O36" t="s">
        <v>57</v>
      </c>
    </row>
    <row r="37" spans="1:15" ht="15" customHeight="1" x14ac:dyDescent="0.3">
      <c r="A37">
        <v>1036</v>
      </c>
      <c r="B37" t="s">
        <v>152</v>
      </c>
      <c r="C37" t="s">
        <v>75</v>
      </c>
      <c r="D37" t="s">
        <v>83</v>
      </c>
      <c r="E37" t="s">
        <v>77</v>
      </c>
      <c r="F37" t="s">
        <v>55</v>
      </c>
      <c r="G37" t="s">
        <v>153</v>
      </c>
      <c r="I37">
        <v>71883</v>
      </c>
      <c r="J37">
        <v>4.2</v>
      </c>
      <c r="K37">
        <v>13</v>
      </c>
      <c r="L37">
        <v>11</v>
      </c>
      <c r="M37">
        <v>9</v>
      </c>
      <c r="N37">
        <v>14</v>
      </c>
      <c r="O37" t="s">
        <v>57</v>
      </c>
    </row>
    <row r="38" spans="1:15" ht="15" customHeight="1" x14ac:dyDescent="0.3">
      <c r="A38">
        <v>1037</v>
      </c>
      <c r="B38" t="s">
        <v>154</v>
      </c>
      <c r="C38" t="s">
        <v>96</v>
      </c>
      <c r="D38" t="s">
        <v>120</v>
      </c>
      <c r="E38" t="s">
        <v>84</v>
      </c>
      <c r="F38" t="s">
        <v>55</v>
      </c>
      <c r="G38" t="s">
        <v>155</v>
      </c>
      <c r="H38">
        <v>2.2999999999999998</v>
      </c>
      <c r="I38">
        <v>38801</v>
      </c>
      <c r="J38">
        <v>4.7</v>
      </c>
      <c r="K38">
        <v>3</v>
      </c>
      <c r="L38">
        <v>5</v>
      </c>
      <c r="M38">
        <v>10</v>
      </c>
      <c r="N38">
        <v>11</v>
      </c>
      <c r="O38" t="s">
        <v>57</v>
      </c>
    </row>
    <row r="39" spans="1:15" ht="15" customHeight="1" x14ac:dyDescent="0.3">
      <c r="A39">
        <v>1038</v>
      </c>
      <c r="B39" t="s">
        <v>156</v>
      </c>
      <c r="D39" t="s">
        <v>87</v>
      </c>
      <c r="E39" t="s">
        <v>84</v>
      </c>
      <c r="F39" t="s">
        <v>60</v>
      </c>
      <c r="G39" t="s">
        <v>157</v>
      </c>
      <c r="H39">
        <v>2.4</v>
      </c>
      <c r="I39">
        <v>43542</v>
      </c>
      <c r="J39">
        <v>3.5</v>
      </c>
      <c r="K39">
        <v>4</v>
      </c>
      <c r="L39">
        <v>27</v>
      </c>
      <c r="M39">
        <v>8</v>
      </c>
      <c r="N39">
        <v>8</v>
      </c>
      <c r="O39" t="s">
        <v>57</v>
      </c>
    </row>
    <row r="40" spans="1:15" ht="15" customHeight="1" x14ac:dyDescent="0.3">
      <c r="A40">
        <v>1039</v>
      </c>
      <c r="B40" t="s">
        <v>158</v>
      </c>
      <c r="C40" t="s">
        <v>75</v>
      </c>
      <c r="D40" t="s">
        <v>87</v>
      </c>
      <c r="E40" t="s">
        <v>64</v>
      </c>
      <c r="F40" t="s">
        <v>60</v>
      </c>
      <c r="G40" t="s">
        <v>159</v>
      </c>
      <c r="H40">
        <v>5.6</v>
      </c>
      <c r="I40">
        <v>40775</v>
      </c>
      <c r="J40">
        <v>4.2</v>
      </c>
      <c r="K40">
        <v>51</v>
      </c>
      <c r="L40">
        <v>10</v>
      </c>
      <c r="M40">
        <v>7</v>
      </c>
      <c r="N40">
        <v>3</v>
      </c>
      <c r="O40" t="s">
        <v>57</v>
      </c>
    </row>
    <row r="41" spans="1:15" ht="15" customHeight="1" x14ac:dyDescent="0.3">
      <c r="A41">
        <v>1040</v>
      </c>
      <c r="B41" t="s">
        <v>160</v>
      </c>
      <c r="C41" t="s">
        <v>52</v>
      </c>
      <c r="D41" t="s">
        <v>145</v>
      </c>
      <c r="E41" t="s">
        <v>64</v>
      </c>
      <c r="F41" t="s">
        <v>55</v>
      </c>
      <c r="G41" t="s">
        <v>161</v>
      </c>
      <c r="H41">
        <v>4.5999999999999996</v>
      </c>
      <c r="I41">
        <v>62570</v>
      </c>
      <c r="J41">
        <v>3.3</v>
      </c>
      <c r="K41">
        <v>3</v>
      </c>
      <c r="L41">
        <v>3</v>
      </c>
      <c r="M41">
        <v>7</v>
      </c>
      <c r="N41">
        <v>6</v>
      </c>
      <c r="O41" t="s">
        <v>57</v>
      </c>
    </row>
    <row r="42" spans="1:15" ht="15" customHeight="1" x14ac:dyDescent="0.3">
      <c r="A42">
        <v>1041</v>
      </c>
      <c r="B42" t="s">
        <v>162</v>
      </c>
      <c r="C42" t="s">
        <v>90</v>
      </c>
      <c r="D42" t="s">
        <v>104</v>
      </c>
      <c r="E42" t="s">
        <v>54</v>
      </c>
      <c r="F42" t="s">
        <v>55</v>
      </c>
      <c r="G42" t="s">
        <v>163</v>
      </c>
      <c r="H42">
        <v>4.4000000000000004</v>
      </c>
      <c r="I42">
        <v>126327</v>
      </c>
      <c r="J42">
        <v>4.3</v>
      </c>
      <c r="K42">
        <v>40</v>
      </c>
      <c r="L42">
        <v>13</v>
      </c>
      <c r="M42">
        <v>9</v>
      </c>
      <c r="N42">
        <v>17</v>
      </c>
      <c r="O42" t="s">
        <v>118</v>
      </c>
    </row>
    <row r="43" spans="1:15" ht="15" customHeight="1" x14ac:dyDescent="0.3">
      <c r="A43">
        <v>1042</v>
      </c>
      <c r="B43" t="s">
        <v>164</v>
      </c>
      <c r="C43" t="s">
        <v>75</v>
      </c>
      <c r="D43" t="s">
        <v>83</v>
      </c>
      <c r="E43" t="s">
        <v>77</v>
      </c>
      <c r="F43" t="s">
        <v>60</v>
      </c>
      <c r="G43" t="s">
        <v>165</v>
      </c>
      <c r="H43">
        <v>2.9</v>
      </c>
      <c r="I43">
        <v>79288</v>
      </c>
      <c r="J43">
        <v>2.5</v>
      </c>
      <c r="K43">
        <v>68</v>
      </c>
      <c r="L43">
        <v>21</v>
      </c>
      <c r="M43">
        <v>10</v>
      </c>
      <c r="N43">
        <v>24</v>
      </c>
      <c r="O43" t="s">
        <v>57</v>
      </c>
    </row>
    <row r="44" spans="1:15" ht="15" customHeight="1" x14ac:dyDescent="0.3">
      <c r="A44">
        <v>1043</v>
      </c>
      <c r="B44" t="s">
        <v>166</v>
      </c>
      <c r="C44" t="s">
        <v>79</v>
      </c>
      <c r="D44" t="s">
        <v>167</v>
      </c>
      <c r="E44" t="s">
        <v>84</v>
      </c>
      <c r="F44" t="s">
        <v>60</v>
      </c>
      <c r="G44" t="s">
        <v>168</v>
      </c>
      <c r="H44">
        <v>3.1</v>
      </c>
      <c r="I44">
        <v>53819</v>
      </c>
      <c r="J44">
        <v>4.0999999999999996</v>
      </c>
      <c r="K44">
        <v>15</v>
      </c>
      <c r="L44">
        <v>23</v>
      </c>
      <c r="M44">
        <v>7</v>
      </c>
      <c r="N44">
        <v>17</v>
      </c>
      <c r="O44" t="s">
        <v>57</v>
      </c>
    </row>
    <row r="45" spans="1:15" ht="15" customHeight="1" x14ac:dyDescent="0.3">
      <c r="A45">
        <v>1044</v>
      </c>
      <c r="B45" t="s">
        <v>169</v>
      </c>
      <c r="C45" t="s">
        <v>79</v>
      </c>
      <c r="D45" t="s">
        <v>123</v>
      </c>
      <c r="E45" t="s">
        <v>77</v>
      </c>
      <c r="F45" t="s">
        <v>60</v>
      </c>
      <c r="G45" t="s">
        <v>170</v>
      </c>
      <c r="H45">
        <v>5.2</v>
      </c>
      <c r="I45">
        <v>65166</v>
      </c>
      <c r="J45">
        <v>2.8</v>
      </c>
      <c r="K45">
        <v>53</v>
      </c>
      <c r="L45">
        <v>21</v>
      </c>
      <c r="M45">
        <v>8</v>
      </c>
      <c r="N45">
        <v>22</v>
      </c>
      <c r="O45" t="s">
        <v>57</v>
      </c>
    </row>
    <row r="46" spans="1:15" ht="15" customHeight="1" x14ac:dyDescent="0.3">
      <c r="A46">
        <v>1045</v>
      </c>
      <c r="B46" t="s">
        <v>171</v>
      </c>
      <c r="C46" t="s">
        <v>79</v>
      </c>
      <c r="D46" t="s">
        <v>123</v>
      </c>
      <c r="E46" t="s">
        <v>84</v>
      </c>
      <c r="F46" t="s">
        <v>60</v>
      </c>
      <c r="G46" t="s">
        <v>172</v>
      </c>
      <c r="H46">
        <v>2.2000000000000002</v>
      </c>
      <c r="I46">
        <v>47013</v>
      </c>
      <c r="J46">
        <v>3.3</v>
      </c>
      <c r="K46">
        <v>26</v>
      </c>
      <c r="L46">
        <v>13</v>
      </c>
      <c r="M46">
        <v>9</v>
      </c>
      <c r="N46">
        <v>20</v>
      </c>
      <c r="O46" t="s">
        <v>57</v>
      </c>
    </row>
    <row r="47" spans="1:15" ht="15" customHeight="1" x14ac:dyDescent="0.3">
      <c r="A47">
        <v>1046</v>
      </c>
      <c r="B47" t="s">
        <v>173</v>
      </c>
      <c r="C47" t="s">
        <v>79</v>
      </c>
      <c r="D47" t="s">
        <v>123</v>
      </c>
      <c r="E47" t="s">
        <v>54</v>
      </c>
      <c r="F47" t="s">
        <v>60</v>
      </c>
      <c r="G47" t="s">
        <v>174</v>
      </c>
      <c r="H47">
        <v>5.6</v>
      </c>
      <c r="I47">
        <v>63750</v>
      </c>
      <c r="J47">
        <v>3.7</v>
      </c>
      <c r="K47">
        <v>21</v>
      </c>
      <c r="L47">
        <v>21</v>
      </c>
      <c r="M47">
        <v>5</v>
      </c>
      <c r="N47">
        <v>10</v>
      </c>
      <c r="O47" t="s">
        <v>57</v>
      </c>
    </row>
    <row r="48" spans="1:15" ht="15" customHeight="1" x14ac:dyDescent="0.3">
      <c r="A48">
        <v>1047</v>
      </c>
      <c r="B48" t="s">
        <v>175</v>
      </c>
      <c r="C48" t="s">
        <v>90</v>
      </c>
      <c r="D48" t="s">
        <v>91</v>
      </c>
      <c r="E48" t="s">
        <v>84</v>
      </c>
      <c r="F48" t="s">
        <v>55</v>
      </c>
      <c r="G48" t="s">
        <v>176</v>
      </c>
      <c r="H48">
        <v>3.1</v>
      </c>
      <c r="I48">
        <v>50171</v>
      </c>
      <c r="J48">
        <v>3.1</v>
      </c>
      <c r="K48">
        <v>25</v>
      </c>
      <c r="L48">
        <v>4</v>
      </c>
      <c r="M48">
        <v>5</v>
      </c>
      <c r="N48">
        <v>2</v>
      </c>
      <c r="O48" t="s">
        <v>57</v>
      </c>
    </row>
    <row r="49" spans="1:15" ht="15" customHeight="1" x14ac:dyDescent="0.3">
      <c r="A49">
        <v>1048</v>
      </c>
      <c r="B49" t="s">
        <v>177</v>
      </c>
      <c r="C49" t="s">
        <v>79</v>
      </c>
      <c r="D49" t="s">
        <v>80</v>
      </c>
      <c r="E49" t="s">
        <v>68</v>
      </c>
      <c r="F49" t="s">
        <v>55</v>
      </c>
      <c r="G49" t="s">
        <v>178</v>
      </c>
      <c r="H49">
        <v>1.9</v>
      </c>
      <c r="I49">
        <v>88863</v>
      </c>
      <c r="J49">
        <v>3</v>
      </c>
      <c r="K49">
        <v>49</v>
      </c>
      <c r="L49">
        <v>15</v>
      </c>
      <c r="M49">
        <v>8</v>
      </c>
      <c r="N49">
        <v>8</v>
      </c>
      <c r="O49" t="s">
        <v>118</v>
      </c>
    </row>
    <row r="50" spans="1:15" ht="15" customHeight="1" x14ac:dyDescent="0.3">
      <c r="A50">
        <v>1049</v>
      </c>
      <c r="B50" t="s">
        <v>179</v>
      </c>
      <c r="C50" t="s">
        <v>96</v>
      </c>
      <c r="D50" t="s">
        <v>180</v>
      </c>
      <c r="E50" t="s">
        <v>68</v>
      </c>
      <c r="F50" t="s">
        <v>60</v>
      </c>
      <c r="G50" t="s">
        <v>181</v>
      </c>
      <c r="H50">
        <v>5.6</v>
      </c>
      <c r="I50">
        <v>68763</v>
      </c>
      <c r="J50">
        <v>4.5</v>
      </c>
      <c r="K50">
        <v>66</v>
      </c>
      <c r="L50">
        <v>14</v>
      </c>
      <c r="M50">
        <v>5</v>
      </c>
      <c r="N50">
        <v>18</v>
      </c>
      <c r="O50" t="s">
        <v>57</v>
      </c>
    </row>
    <row r="51" spans="1:15" ht="15" customHeight="1" x14ac:dyDescent="0.3">
      <c r="A51">
        <v>1050</v>
      </c>
      <c r="B51" t="s">
        <v>182</v>
      </c>
      <c r="C51" t="s">
        <v>67</v>
      </c>
      <c r="D51" t="s">
        <v>63</v>
      </c>
      <c r="E51" t="s">
        <v>54</v>
      </c>
      <c r="F51" t="s">
        <v>60</v>
      </c>
      <c r="G51" t="s">
        <v>183</v>
      </c>
      <c r="H51">
        <v>3.1</v>
      </c>
      <c r="I51">
        <v>92404</v>
      </c>
      <c r="J51">
        <v>5</v>
      </c>
      <c r="K51">
        <v>76</v>
      </c>
      <c r="L51">
        <v>10</v>
      </c>
      <c r="M51">
        <v>8</v>
      </c>
      <c r="N51">
        <v>20</v>
      </c>
      <c r="O51" t="s">
        <v>57</v>
      </c>
    </row>
    <row r="52" spans="1:15" ht="15" customHeight="1" x14ac:dyDescent="0.3">
      <c r="A52">
        <v>1051</v>
      </c>
      <c r="B52" t="s">
        <v>184</v>
      </c>
      <c r="C52" t="s">
        <v>96</v>
      </c>
      <c r="D52" t="s">
        <v>97</v>
      </c>
      <c r="E52" t="s">
        <v>64</v>
      </c>
      <c r="F52" t="s">
        <v>60</v>
      </c>
      <c r="G52" t="s">
        <v>185</v>
      </c>
      <c r="H52">
        <v>4.3</v>
      </c>
      <c r="I52">
        <v>55215</v>
      </c>
      <c r="J52">
        <v>4.4000000000000004</v>
      </c>
      <c r="K52">
        <v>60</v>
      </c>
      <c r="L52">
        <v>14</v>
      </c>
      <c r="M52">
        <v>0</v>
      </c>
      <c r="N52">
        <v>25</v>
      </c>
      <c r="O52" t="s">
        <v>57</v>
      </c>
    </row>
    <row r="53" spans="1:15" ht="15" customHeight="1" x14ac:dyDescent="0.3">
      <c r="A53">
        <v>1052</v>
      </c>
      <c r="B53" t="s">
        <v>186</v>
      </c>
      <c r="C53" t="s">
        <v>52</v>
      </c>
      <c r="D53" t="s">
        <v>53</v>
      </c>
      <c r="E53" t="s">
        <v>54</v>
      </c>
      <c r="F53" t="s">
        <v>55</v>
      </c>
      <c r="G53" t="s">
        <v>187</v>
      </c>
      <c r="H53">
        <v>5.3</v>
      </c>
      <c r="I53">
        <v>57413</v>
      </c>
      <c r="J53">
        <v>2.7</v>
      </c>
      <c r="K53">
        <v>36</v>
      </c>
      <c r="L53">
        <v>7</v>
      </c>
      <c r="M53">
        <v>7</v>
      </c>
      <c r="N53">
        <v>11</v>
      </c>
      <c r="O53" t="s">
        <v>57</v>
      </c>
    </row>
    <row r="54" spans="1:15" ht="15" customHeight="1" x14ac:dyDescent="0.3">
      <c r="A54">
        <v>1053</v>
      </c>
      <c r="B54" t="s">
        <v>188</v>
      </c>
      <c r="C54" t="s">
        <v>67</v>
      </c>
      <c r="D54" t="s">
        <v>189</v>
      </c>
      <c r="E54" t="s">
        <v>84</v>
      </c>
      <c r="F54" t="s">
        <v>60</v>
      </c>
      <c r="G54" t="s">
        <v>190</v>
      </c>
      <c r="H54">
        <v>5.5</v>
      </c>
      <c r="I54">
        <v>57551</v>
      </c>
      <c r="J54">
        <v>4.2</v>
      </c>
      <c r="K54">
        <v>27</v>
      </c>
      <c r="L54">
        <v>2</v>
      </c>
      <c r="M54">
        <v>8</v>
      </c>
      <c r="N54">
        <v>14</v>
      </c>
      <c r="O54" t="s">
        <v>57</v>
      </c>
    </row>
    <row r="55" spans="1:15" ht="15" customHeight="1" x14ac:dyDescent="0.3">
      <c r="A55">
        <v>1054</v>
      </c>
      <c r="B55" t="s">
        <v>191</v>
      </c>
      <c r="C55" t="s">
        <v>90</v>
      </c>
      <c r="D55" t="s">
        <v>91</v>
      </c>
      <c r="E55" t="s">
        <v>54</v>
      </c>
      <c r="F55" t="s">
        <v>60</v>
      </c>
      <c r="G55" t="s">
        <v>192</v>
      </c>
      <c r="H55">
        <v>2.2000000000000002</v>
      </c>
      <c r="I55">
        <v>53767</v>
      </c>
      <c r="J55">
        <v>3.5</v>
      </c>
      <c r="K55">
        <v>74</v>
      </c>
      <c r="L55">
        <v>30</v>
      </c>
      <c r="M55">
        <v>10</v>
      </c>
      <c r="N55">
        <v>1</v>
      </c>
      <c r="O55" t="s">
        <v>57</v>
      </c>
    </row>
    <row r="56" spans="1:15" ht="15" customHeight="1" x14ac:dyDescent="0.3">
      <c r="A56">
        <v>1055</v>
      </c>
      <c r="B56" t="s">
        <v>193</v>
      </c>
      <c r="C56" t="s">
        <v>79</v>
      </c>
      <c r="D56" t="s">
        <v>167</v>
      </c>
      <c r="E56" t="s">
        <v>54</v>
      </c>
      <c r="F56" t="s">
        <v>55</v>
      </c>
      <c r="G56" t="s">
        <v>194</v>
      </c>
      <c r="H56">
        <v>4.9000000000000004</v>
      </c>
      <c r="I56">
        <v>52784</v>
      </c>
      <c r="J56">
        <v>4.4000000000000004</v>
      </c>
      <c r="K56">
        <v>53</v>
      </c>
      <c r="L56">
        <v>17</v>
      </c>
      <c r="M56">
        <v>10</v>
      </c>
      <c r="N56">
        <v>24</v>
      </c>
      <c r="O56" t="s">
        <v>57</v>
      </c>
    </row>
    <row r="57" spans="1:15" ht="15" customHeight="1" x14ac:dyDescent="0.3">
      <c r="A57">
        <v>1056</v>
      </c>
      <c r="B57" t="s">
        <v>195</v>
      </c>
      <c r="C57" t="s">
        <v>79</v>
      </c>
      <c r="D57" t="s">
        <v>167</v>
      </c>
      <c r="E57" t="s">
        <v>77</v>
      </c>
      <c r="F57" t="s">
        <v>60</v>
      </c>
      <c r="G57" t="s">
        <v>196</v>
      </c>
      <c r="H57">
        <v>5.3</v>
      </c>
      <c r="I57">
        <v>57281</v>
      </c>
      <c r="J57">
        <v>3.7</v>
      </c>
      <c r="K57">
        <v>49</v>
      </c>
      <c r="L57">
        <v>10</v>
      </c>
      <c r="M57">
        <v>10</v>
      </c>
      <c r="N57">
        <v>22</v>
      </c>
      <c r="O57" t="s">
        <v>57</v>
      </c>
    </row>
    <row r="58" spans="1:15" ht="15" customHeight="1" x14ac:dyDescent="0.3">
      <c r="A58">
        <v>1057</v>
      </c>
      <c r="B58" t="s">
        <v>197</v>
      </c>
      <c r="C58" t="s">
        <v>67</v>
      </c>
      <c r="D58" t="s">
        <v>114</v>
      </c>
      <c r="E58" t="s">
        <v>84</v>
      </c>
      <c r="F58" t="s">
        <v>55</v>
      </c>
      <c r="G58" t="s">
        <v>198</v>
      </c>
      <c r="H58">
        <v>3.8</v>
      </c>
      <c r="I58">
        <v>125883</v>
      </c>
      <c r="J58">
        <v>4.8</v>
      </c>
      <c r="K58">
        <v>75</v>
      </c>
      <c r="L58">
        <v>18</v>
      </c>
      <c r="M58">
        <v>10</v>
      </c>
      <c r="N58">
        <v>1</v>
      </c>
      <c r="O58" t="s">
        <v>118</v>
      </c>
    </row>
    <row r="59" spans="1:15" ht="15" customHeight="1" x14ac:dyDescent="0.3">
      <c r="A59">
        <v>1058</v>
      </c>
      <c r="B59" t="s">
        <v>199</v>
      </c>
      <c r="C59" t="s">
        <v>96</v>
      </c>
      <c r="D59" t="s">
        <v>180</v>
      </c>
      <c r="E59" t="s">
        <v>84</v>
      </c>
      <c r="F59" t="s">
        <v>60</v>
      </c>
      <c r="G59" t="s">
        <v>200</v>
      </c>
      <c r="H59">
        <v>5.8</v>
      </c>
      <c r="I59">
        <v>64647</v>
      </c>
      <c r="J59">
        <v>3.2</v>
      </c>
      <c r="K59">
        <v>41</v>
      </c>
      <c r="L59">
        <v>6</v>
      </c>
      <c r="M59">
        <v>8</v>
      </c>
      <c r="N59">
        <v>11</v>
      </c>
      <c r="O59" t="s">
        <v>57</v>
      </c>
    </row>
    <row r="60" spans="1:15" ht="15" customHeight="1" x14ac:dyDescent="0.3">
      <c r="A60">
        <v>1059</v>
      </c>
      <c r="B60" t="s">
        <v>201</v>
      </c>
      <c r="C60" t="s">
        <v>96</v>
      </c>
      <c r="D60" t="s">
        <v>180</v>
      </c>
      <c r="E60" t="s">
        <v>68</v>
      </c>
      <c r="F60" t="s">
        <v>55</v>
      </c>
      <c r="G60" t="s">
        <v>202</v>
      </c>
      <c r="H60">
        <v>5.4</v>
      </c>
      <c r="I60">
        <v>65683</v>
      </c>
      <c r="J60">
        <v>3.7</v>
      </c>
      <c r="K60">
        <v>69</v>
      </c>
      <c r="L60">
        <v>1</v>
      </c>
      <c r="M60">
        <v>7</v>
      </c>
      <c r="N60">
        <v>8</v>
      </c>
      <c r="O60" t="s">
        <v>57</v>
      </c>
    </row>
    <row r="61" spans="1:15" ht="15" customHeight="1" x14ac:dyDescent="0.3">
      <c r="A61">
        <v>1060</v>
      </c>
      <c r="B61" t="s">
        <v>203</v>
      </c>
      <c r="C61" t="s">
        <v>67</v>
      </c>
      <c r="D61" t="s">
        <v>189</v>
      </c>
      <c r="E61" t="s">
        <v>77</v>
      </c>
      <c r="F61" t="s">
        <v>60</v>
      </c>
      <c r="G61" t="s">
        <v>204</v>
      </c>
      <c r="H61">
        <v>2.1</v>
      </c>
      <c r="I61">
        <v>45667</v>
      </c>
      <c r="J61">
        <v>4.0999999999999996</v>
      </c>
      <c r="K61">
        <v>30</v>
      </c>
      <c r="L61">
        <v>4</v>
      </c>
      <c r="M61">
        <v>8</v>
      </c>
      <c r="N61">
        <v>22</v>
      </c>
      <c r="O61" t="s">
        <v>118</v>
      </c>
    </row>
    <row r="62" spans="1:15" ht="15" customHeight="1" x14ac:dyDescent="0.3">
      <c r="A62">
        <v>1061</v>
      </c>
      <c r="B62" t="s">
        <v>205</v>
      </c>
      <c r="C62" t="s">
        <v>52</v>
      </c>
      <c r="D62" t="s">
        <v>130</v>
      </c>
      <c r="E62" t="s">
        <v>77</v>
      </c>
      <c r="F62" t="s">
        <v>60</v>
      </c>
      <c r="G62" t="s">
        <v>206</v>
      </c>
      <c r="H62">
        <v>2.5</v>
      </c>
      <c r="I62">
        <v>89087</v>
      </c>
      <c r="J62">
        <v>2.9</v>
      </c>
      <c r="K62">
        <v>77</v>
      </c>
      <c r="L62">
        <v>30</v>
      </c>
      <c r="M62">
        <v>10</v>
      </c>
      <c r="N62">
        <v>23</v>
      </c>
      <c r="O62" t="s">
        <v>118</v>
      </c>
    </row>
    <row r="63" spans="1:15" ht="15" customHeight="1" x14ac:dyDescent="0.3">
      <c r="A63">
        <v>1062</v>
      </c>
      <c r="B63" t="s">
        <v>207</v>
      </c>
      <c r="C63" t="s">
        <v>90</v>
      </c>
      <c r="D63" t="s">
        <v>104</v>
      </c>
      <c r="E63" t="s">
        <v>77</v>
      </c>
      <c r="F63" t="s">
        <v>55</v>
      </c>
      <c r="G63" t="s">
        <v>208</v>
      </c>
      <c r="H63">
        <v>6.7</v>
      </c>
      <c r="I63">
        <v>125222</v>
      </c>
      <c r="J63">
        <v>3.9</v>
      </c>
      <c r="K63">
        <v>48</v>
      </c>
      <c r="L63">
        <v>12</v>
      </c>
      <c r="M63">
        <v>10</v>
      </c>
      <c r="N63">
        <v>7</v>
      </c>
      <c r="O63" t="s">
        <v>118</v>
      </c>
    </row>
    <row r="64" spans="1:15" ht="15" customHeight="1" x14ac:dyDescent="0.3">
      <c r="A64">
        <v>1063</v>
      </c>
      <c r="B64" t="s">
        <v>209</v>
      </c>
      <c r="C64" t="s">
        <v>52</v>
      </c>
      <c r="D64" t="s">
        <v>130</v>
      </c>
      <c r="E64" t="s">
        <v>64</v>
      </c>
      <c r="F64" t="s">
        <v>55</v>
      </c>
      <c r="G64" t="s">
        <v>210</v>
      </c>
      <c r="H64">
        <v>2.1</v>
      </c>
      <c r="I64">
        <v>96674</v>
      </c>
      <c r="J64">
        <v>4.5</v>
      </c>
      <c r="K64">
        <v>72</v>
      </c>
      <c r="L64">
        <v>25</v>
      </c>
      <c r="M64">
        <v>5</v>
      </c>
      <c r="N64">
        <v>12</v>
      </c>
      <c r="O64" t="s">
        <v>57</v>
      </c>
    </row>
    <row r="65" spans="1:15" ht="15" customHeight="1" x14ac:dyDescent="0.3">
      <c r="A65">
        <v>1064</v>
      </c>
      <c r="B65" t="s">
        <v>211</v>
      </c>
      <c r="C65" t="s">
        <v>58</v>
      </c>
      <c r="D65" t="s">
        <v>212</v>
      </c>
      <c r="E65" t="s">
        <v>84</v>
      </c>
      <c r="F65" t="s">
        <v>55</v>
      </c>
      <c r="G65" t="s">
        <v>213</v>
      </c>
      <c r="H65">
        <v>4.9000000000000004</v>
      </c>
      <c r="I65">
        <v>85414</v>
      </c>
      <c r="J65">
        <v>4.5999999999999996</v>
      </c>
      <c r="K65">
        <v>62</v>
      </c>
      <c r="L65">
        <v>3</v>
      </c>
      <c r="M65">
        <v>8</v>
      </c>
      <c r="N65">
        <v>12</v>
      </c>
      <c r="O65" t="s">
        <v>57</v>
      </c>
    </row>
    <row r="66" spans="1:15" ht="15" customHeight="1" x14ac:dyDescent="0.3">
      <c r="A66">
        <v>1065</v>
      </c>
      <c r="B66" t="s">
        <v>214</v>
      </c>
      <c r="C66" t="s">
        <v>79</v>
      </c>
      <c r="D66" t="s">
        <v>167</v>
      </c>
      <c r="E66" t="s">
        <v>84</v>
      </c>
      <c r="F66" t="s">
        <v>60</v>
      </c>
      <c r="G66" t="s">
        <v>215</v>
      </c>
      <c r="H66">
        <v>2.7</v>
      </c>
      <c r="I66">
        <v>60096</v>
      </c>
      <c r="J66">
        <v>4.9000000000000004</v>
      </c>
      <c r="K66">
        <v>34</v>
      </c>
      <c r="L66">
        <v>19</v>
      </c>
      <c r="M66">
        <v>9</v>
      </c>
      <c r="N66">
        <v>25</v>
      </c>
      <c r="O66" t="s">
        <v>57</v>
      </c>
    </row>
    <row r="67" spans="1:15" ht="15" customHeight="1" x14ac:dyDescent="0.3">
      <c r="A67">
        <v>1066</v>
      </c>
      <c r="B67" t="s">
        <v>216</v>
      </c>
      <c r="C67" t="s">
        <v>75</v>
      </c>
      <c r="D67" t="s">
        <v>87</v>
      </c>
      <c r="E67" t="s">
        <v>84</v>
      </c>
      <c r="F67" t="s">
        <v>60</v>
      </c>
      <c r="G67" t="s">
        <v>217</v>
      </c>
      <c r="H67">
        <v>2.2000000000000002</v>
      </c>
      <c r="I67">
        <v>42839</v>
      </c>
      <c r="J67">
        <v>3.2</v>
      </c>
      <c r="K67">
        <v>57</v>
      </c>
      <c r="L67">
        <v>7</v>
      </c>
      <c r="M67">
        <v>8</v>
      </c>
      <c r="N67">
        <v>19</v>
      </c>
      <c r="O67" t="s">
        <v>57</v>
      </c>
    </row>
    <row r="68" spans="1:15" ht="15" customHeight="1" x14ac:dyDescent="0.3">
      <c r="A68">
        <v>1067</v>
      </c>
      <c r="B68" t="s">
        <v>218</v>
      </c>
      <c r="C68" t="s">
        <v>90</v>
      </c>
      <c r="D68" t="s">
        <v>148</v>
      </c>
      <c r="E68" t="s">
        <v>54</v>
      </c>
      <c r="F68" t="s">
        <v>60</v>
      </c>
      <c r="G68" t="s">
        <v>219</v>
      </c>
      <c r="H68">
        <v>2.1</v>
      </c>
      <c r="I68">
        <v>80650</v>
      </c>
      <c r="J68">
        <v>3</v>
      </c>
      <c r="K68">
        <v>27</v>
      </c>
      <c r="L68">
        <v>0</v>
      </c>
      <c r="M68">
        <v>7</v>
      </c>
      <c r="N68">
        <v>11</v>
      </c>
      <c r="O68" t="s">
        <v>57</v>
      </c>
    </row>
    <row r="69" spans="1:15" ht="15" customHeight="1" x14ac:dyDescent="0.3">
      <c r="A69">
        <v>1068</v>
      </c>
      <c r="B69" t="s">
        <v>220</v>
      </c>
      <c r="C69" t="s">
        <v>58</v>
      </c>
      <c r="D69" t="s">
        <v>70</v>
      </c>
      <c r="E69" t="s">
        <v>84</v>
      </c>
      <c r="F69" t="s">
        <v>60</v>
      </c>
      <c r="G69" t="s">
        <v>221</v>
      </c>
      <c r="H69">
        <v>3.9</v>
      </c>
      <c r="I69">
        <v>56260</v>
      </c>
      <c r="J69">
        <v>2.7</v>
      </c>
      <c r="K69">
        <v>52</v>
      </c>
      <c r="L69">
        <v>15</v>
      </c>
      <c r="M69">
        <v>9</v>
      </c>
      <c r="N69">
        <v>25</v>
      </c>
      <c r="O69" t="s">
        <v>57</v>
      </c>
    </row>
    <row r="70" spans="1:15" ht="15" customHeight="1" x14ac:dyDescent="0.3">
      <c r="A70">
        <v>1069</v>
      </c>
      <c r="B70" t="s">
        <v>222</v>
      </c>
      <c r="C70" t="s">
        <v>79</v>
      </c>
      <c r="D70" t="s">
        <v>167</v>
      </c>
      <c r="E70" t="s">
        <v>54</v>
      </c>
      <c r="F70" t="s">
        <v>60</v>
      </c>
      <c r="G70" t="s">
        <v>223</v>
      </c>
      <c r="H70">
        <v>6.3</v>
      </c>
      <c r="I70">
        <v>52641</v>
      </c>
      <c r="J70">
        <v>3.1</v>
      </c>
      <c r="K70">
        <v>31</v>
      </c>
      <c r="L70">
        <v>9</v>
      </c>
      <c r="M70">
        <v>10</v>
      </c>
      <c r="N70">
        <v>19</v>
      </c>
      <c r="O70" t="s">
        <v>57</v>
      </c>
    </row>
    <row r="71" spans="1:15" ht="15" customHeight="1" x14ac:dyDescent="0.3">
      <c r="A71">
        <v>1070</v>
      </c>
      <c r="B71" t="s">
        <v>224</v>
      </c>
      <c r="C71" t="s">
        <v>79</v>
      </c>
      <c r="D71" t="s">
        <v>123</v>
      </c>
      <c r="E71" t="s">
        <v>77</v>
      </c>
      <c r="F71" t="s">
        <v>60</v>
      </c>
      <c r="G71" t="s">
        <v>225</v>
      </c>
      <c r="H71">
        <v>3.7</v>
      </c>
      <c r="I71">
        <v>57839</v>
      </c>
      <c r="J71">
        <v>3.4</v>
      </c>
      <c r="K71">
        <v>58</v>
      </c>
      <c r="L71">
        <v>8</v>
      </c>
      <c r="M71">
        <v>7</v>
      </c>
      <c r="N71">
        <v>9</v>
      </c>
      <c r="O71" t="s">
        <v>57</v>
      </c>
    </row>
    <row r="72" spans="1:15" ht="15" customHeight="1" x14ac:dyDescent="0.3">
      <c r="A72">
        <v>1071</v>
      </c>
      <c r="B72" t="s">
        <v>226</v>
      </c>
      <c r="C72" t="s">
        <v>90</v>
      </c>
      <c r="D72" t="s">
        <v>104</v>
      </c>
      <c r="E72" t="s">
        <v>54</v>
      </c>
      <c r="F72" t="s">
        <v>60</v>
      </c>
      <c r="G72" t="s">
        <v>227</v>
      </c>
      <c r="H72">
        <v>3.8</v>
      </c>
      <c r="I72">
        <v>121066</v>
      </c>
      <c r="J72">
        <v>3</v>
      </c>
      <c r="K72">
        <v>61</v>
      </c>
      <c r="L72">
        <v>8</v>
      </c>
      <c r="M72">
        <v>10</v>
      </c>
      <c r="N72">
        <v>19</v>
      </c>
      <c r="O72" t="s">
        <v>57</v>
      </c>
    </row>
    <row r="73" spans="1:15" ht="15" customHeight="1" x14ac:dyDescent="0.3">
      <c r="A73">
        <v>1072</v>
      </c>
      <c r="B73" t="s">
        <v>228</v>
      </c>
      <c r="C73" t="s">
        <v>90</v>
      </c>
      <c r="D73" t="s">
        <v>91</v>
      </c>
      <c r="E73" t="s">
        <v>68</v>
      </c>
      <c r="F73" t="s">
        <v>55</v>
      </c>
      <c r="G73" t="s">
        <v>229</v>
      </c>
      <c r="H73">
        <v>5.2</v>
      </c>
      <c r="I73">
        <v>47454</v>
      </c>
      <c r="J73">
        <v>3.4</v>
      </c>
      <c r="K73">
        <v>38</v>
      </c>
      <c r="L73">
        <v>0</v>
      </c>
      <c r="M73">
        <v>10</v>
      </c>
      <c r="N73">
        <v>18</v>
      </c>
      <c r="O73" t="s">
        <v>118</v>
      </c>
    </row>
    <row r="74" spans="1:15" ht="15" customHeight="1" x14ac:dyDescent="0.3">
      <c r="A74">
        <v>1073</v>
      </c>
      <c r="B74" t="s">
        <v>230</v>
      </c>
      <c r="C74" t="s">
        <v>58</v>
      </c>
      <c r="D74" t="s">
        <v>59</v>
      </c>
      <c r="E74" t="s">
        <v>84</v>
      </c>
      <c r="F74" t="s">
        <v>60</v>
      </c>
      <c r="G74" t="s">
        <v>231</v>
      </c>
      <c r="H74">
        <v>2.9</v>
      </c>
      <c r="I74">
        <v>64137</v>
      </c>
      <c r="J74">
        <v>4.0999999999999996</v>
      </c>
      <c r="K74">
        <v>62</v>
      </c>
      <c r="L74">
        <v>3</v>
      </c>
      <c r="M74">
        <v>5</v>
      </c>
      <c r="N74">
        <v>19</v>
      </c>
      <c r="O74" t="s">
        <v>57</v>
      </c>
    </row>
    <row r="75" spans="1:15" ht="15" customHeight="1" x14ac:dyDescent="0.3">
      <c r="A75">
        <v>1074</v>
      </c>
      <c r="B75" t="s">
        <v>232</v>
      </c>
      <c r="C75" t="s">
        <v>75</v>
      </c>
      <c r="D75" t="s">
        <v>87</v>
      </c>
      <c r="E75" t="s">
        <v>54</v>
      </c>
      <c r="F75" t="s">
        <v>55</v>
      </c>
      <c r="G75" t="s">
        <v>233</v>
      </c>
      <c r="H75">
        <v>6.5</v>
      </c>
      <c r="I75">
        <v>48273</v>
      </c>
      <c r="J75">
        <v>4.9000000000000004</v>
      </c>
      <c r="K75">
        <v>61</v>
      </c>
      <c r="L75">
        <v>3</v>
      </c>
      <c r="M75">
        <v>5</v>
      </c>
      <c r="N75">
        <v>13</v>
      </c>
      <c r="O75" t="s">
        <v>57</v>
      </c>
    </row>
    <row r="76" spans="1:15" ht="15" customHeight="1" x14ac:dyDescent="0.3">
      <c r="A76">
        <v>1075</v>
      </c>
      <c r="B76" t="s">
        <v>234</v>
      </c>
      <c r="C76" t="s">
        <v>67</v>
      </c>
      <c r="D76" t="s">
        <v>189</v>
      </c>
      <c r="E76" t="s">
        <v>54</v>
      </c>
      <c r="F76" t="s">
        <v>55</v>
      </c>
      <c r="G76" t="s">
        <v>235</v>
      </c>
      <c r="H76">
        <v>2.2999999999999998</v>
      </c>
      <c r="I76">
        <v>63443</v>
      </c>
      <c r="J76">
        <v>4.9000000000000004</v>
      </c>
      <c r="K76">
        <v>10</v>
      </c>
      <c r="L76">
        <v>7</v>
      </c>
      <c r="M76">
        <v>5</v>
      </c>
      <c r="N76">
        <v>18</v>
      </c>
      <c r="O76" t="s">
        <v>57</v>
      </c>
    </row>
    <row r="77" spans="1:15" ht="15" customHeight="1" x14ac:dyDescent="0.3">
      <c r="A77">
        <v>1076</v>
      </c>
      <c r="B77" t="s">
        <v>236</v>
      </c>
      <c r="C77" t="s">
        <v>96</v>
      </c>
      <c r="D77" t="s">
        <v>97</v>
      </c>
      <c r="E77" t="s">
        <v>54</v>
      </c>
      <c r="F77" t="s">
        <v>55</v>
      </c>
      <c r="G77" t="s">
        <v>237</v>
      </c>
      <c r="H77">
        <v>4.7</v>
      </c>
      <c r="I77">
        <v>64762</v>
      </c>
      <c r="J77">
        <v>4.8</v>
      </c>
      <c r="K77">
        <v>38</v>
      </c>
      <c r="L77">
        <v>27</v>
      </c>
      <c r="M77">
        <v>9</v>
      </c>
      <c r="N77">
        <v>14</v>
      </c>
      <c r="O77" t="s">
        <v>57</v>
      </c>
    </row>
    <row r="78" spans="1:15" ht="15" customHeight="1" x14ac:dyDescent="0.3">
      <c r="A78">
        <v>1077</v>
      </c>
      <c r="B78" t="s">
        <v>238</v>
      </c>
      <c r="C78" t="s">
        <v>58</v>
      </c>
      <c r="D78" t="s">
        <v>212</v>
      </c>
      <c r="E78" t="s">
        <v>54</v>
      </c>
      <c r="F78" t="s">
        <v>55</v>
      </c>
      <c r="G78" t="s">
        <v>239</v>
      </c>
      <c r="H78">
        <v>6.3</v>
      </c>
      <c r="I78">
        <v>91808</v>
      </c>
      <c r="J78">
        <v>4.0999999999999996</v>
      </c>
      <c r="K78">
        <v>33</v>
      </c>
      <c r="L78">
        <v>21</v>
      </c>
      <c r="M78">
        <v>5</v>
      </c>
      <c r="N78">
        <v>6</v>
      </c>
      <c r="O78" t="s">
        <v>57</v>
      </c>
    </row>
    <row r="79" spans="1:15" ht="15" customHeight="1" x14ac:dyDescent="0.3">
      <c r="A79">
        <v>1078</v>
      </c>
      <c r="B79" t="s">
        <v>240</v>
      </c>
      <c r="C79" t="s">
        <v>67</v>
      </c>
      <c r="D79" t="s">
        <v>189</v>
      </c>
      <c r="E79" t="s">
        <v>64</v>
      </c>
      <c r="F79" t="s">
        <v>60</v>
      </c>
      <c r="G79" t="s">
        <v>241</v>
      </c>
      <c r="H79">
        <v>4.5</v>
      </c>
      <c r="I79">
        <v>59762</v>
      </c>
      <c r="J79">
        <v>4.2</v>
      </c>
      <c r="K79">
        <v>60</v>
      </c>
      <c r="L79">
        <v>9</v>
      </c>
      <c r="M79">
        <v>5</v>
      </c>
      <c r="N79">
        <v>8</v>
      </c>
      <c r="O79" t="s">
        <v>57</v>
      </c>
    </row>
    <row r="80" spans="1:15" ht="15" customHeight="1" x14ac:dyDescent="0.3">
      <c r="A80">
        <v>1079</v>
      </c>
      <c r="B80" t="s">
        <v>242</v>
      </c>
      <c r="C80" t="s">
        <v>90</v>
      </c>
      <c r="D80" t="s">
        <v>104</v>
      </c>
      <c r="E80" t="s">
        <v>54</v>
      </c>
      <c r="F80" t="s">
        <v>55</v>
      </c>
      <c r="G80" t="s">
        <v>243</v>
      </c>
      <c r="H80">
        <v>5.5</v>
      </c>
      <c r="I80">
        <v>123668</v>
      </c>
      <c r="J80">
        <v>4.5</v>
      </c>
      <c r="K80">
        <v>80</v>
      </c>
      <c r="L80">
        <v>18</v>
      </c>
      <c r="M80">
        <v>10</v>
      </c>
      <c r="N80">
        <v>7</v>
      </c>
      <c r="O80" t="s">
        <v>57</v>
      </c>
    </row>
    <row r="81" spans="1:15" ht="15" customHeight="1" x14ac:dyDescent="0.3">
      <c r="A81">
        <v>1080</v>
      </c>
      <c r="B81" t="s">
        <v>244</v>
      </c>
      <c r="C81" t="s">
        <v>52</v>
      </c>
      <c r="D81" t="s">
        <v>53</v>
      </c>
      <c r="E81" t="s">
        <v>54</v>
      </c>
      <c r="F81" t="s">
        <v>60</v>
      </c>
      <c r="G81" t="s">
        <v>245</v>
      </c>
      <c r="H81">
        <v>5.3</v>
      </c>
      <c r="I81">
        <v>47660</v>
      </c>
      <c r="J81">
        <v>2.7</v>
      </c>
      <c r="K81">
        <v>21</v>
      </c>
      <c r="L81">
        <v>25</v>
      </c>
      <c r="M81">
        <v>7</v>
      </c>
      <c r="N81">
        <v>20</v>
      </c>
      <c r="O81" t="s">
        <v>57</v>
      </c>
    </row>
    <row r="82" spans="1:15" ht="15" customHeight="1" x14ac:dyDescent="0.3">
      <c r="A82">
        <v>1081</v>
      </c>
      <c r="B82" t="s">
        <v>246</v>
      </c>
      <c r="C82" t="s">
        <v>79</v>
      </c>
      <c r="D82" t="s">
        <v>167</v>
      </c>
      <c r="E82" t="s">
        <v>54</v>
      </c>
      <c r="F82" t="s">
        <v>55</v>
      </c>
      <c r="G82" t="s">
        <v>247</v>
      </c>
      <c r="H82">
        <v>4.2</v>
      </c>
      <c r="I82">
        <v>52964</v>
      </c>
      <c r="J82">
        <v>4.2</v>
      </c>
      <c r="K82">
        <v>34</v>
      </c>
      <c r="L82">
        <v>16</v>
      </c>
      <c r="M82">
        <v>9</v>
      </c>
      <c r="N82">
        <v>16</v>
      </c>
      <c r="O82" t="s">
        <v>57</v>
      </c>
    </row>
    <row r="83" spans="1:15" ht="15" customHeight="1" x14ac:dyDescent="0.3">
      <c r="A83">
        <v>1082</v>
      </c>
      <c r="B83" t="s">
        <v>248</v>
      </c>
      <c r="C83" t="s">
        <v>79</v>
      </c>
      <c r="D83" t="s">
        <v>123</v>
      </c>
      <c r="E83" t="s">
        <v>68</v>
      </c>
      <c r="F83" t="s">
        <v>60</v>
      </c>
      <c r="G83" t="s">
        <v>249</v>
      </c>
      <c r="I83">
        <v>66782</v>
      </c>
      <c r="J83">
        <v>3.1</v>
      </c>
      <c r="K83">
        <v>11</v>
      </c>
      <c r="L83">
        <v>7</v>
      </c>
      <c r="M83">
        <v>10</v>
      </c>
      <c r="N83">
        <v>19</v>
      </c>
      <c r="O83" t="s">
        <v>57</v>
      </c>
    </row>
    <row r="84" spans="1:15" ht="15" customHeight="1" x14ac:dyDescent="0.3">
      <c r="A84">
        <v>1083</v>
      </c>
      <c r="B84" t="s">
        <v>250</v>
      </c>
      <c r="C84" t="s">
        <v>58</v>
      </c>
      <c r="D84" t="s">
        <v>70</v>
      </c>
      <c r="E84" t="s">
        <v>84</v>
      </c>
      <c r="F84" t="s">
        <v>60</v>
      </c>
      <c r="G84" t="s">
        <v>251</v>
      </c>
      <c r="H84">
        <v>2.5</v>
      </c>
      <c r="I84">
        <v>55740</v>
      </c>
      <c r="J84">
        <v>3.7</v>
      </c>
      <c r="K84">
        <v>56</v>
      </c>
      <c r="L84">
        <v>29</v>
      </c>
      <c r="M84">
        <v>7</v>
      </c>
      <c r="N84">
        <v>6</v>
      </c>
      <c r="O84" t="s">
        <v>57</v>
      </c>
    </row>
    <row r="85" spans="1:15" ht="15" customHeight="1" x14ac:dyDescent="0.3">
      <c r="A85">
        <v>1084</v>
      </c>
      <c r="B85" t="s">
        <v>252</v>
      </c>
      <c r="C85" t="s">
        <v>90</v>
      </c>
      <c r="D85" t="s">
        <v>148</v>
      </c>
      <c r="E85" t="s">
        <v>84</v>
      </c>
      <c r="F85" t="s">
        <v>60</v>
      </c>
      <c r="G85" t="s">
        <v>253</v>
      </c>
      <c r="H85">
        <v>4.9000000000000004</v>
      </c>
      <c r="I85">
        <v>83380</v>
      </c>
      <c r="J85">
        <v>3.3</v>
      </c>
      <c r="K85">
        <v>13</v>
      </c>
      <c r="L85">
        <v>27</v>
      </c>
      <c r="M85">
        <v>6</v>
      </c>
      <c r="N85">
        <v>11</v>
      </c>
      <c r="O85" t="s">
        <v>57</v>
      </c>
    </row>
    <row r="86" spans="1:15" ht="15" customHeight="1" x14ac:dyDescent="0.3">
      <c r="A86">
        <v>1085</v>
      </c>
      <c r="B86" t="s">
        <v>254</v>
      </c>
      <c r="C86" t="s">
        <v>52</v>
      </c>
      <c r="D86" t="s">
        <v>130</v>
      </c>
      <c r="E86" t="s">
        <v>84</v>
      </c>
      <c r="F86" t="s">
        <v>55</v>
      </c>
      <c r="G86" t="s">
        <v>255</v>
      </c>
      <c r="H86">
        <v>2.2999999999999998</v>
      </c>
      <c r="I86">
        <v>95025</v>
      </c>
      <c r="J86">
        <v>2.6</v>
      </c>
      <c r="K86">
        <v>11</v>
      </c>
      <c r="L86">
        <v>10</v>
      </c>
      <c r="M86">
        <v>7</v>
      </c>
      <c r="N86">
        <v>11</v>
      </c>
      <c r="O86" t="s">
        <v>118</v>
      </c>
    </row>
    <row r="87" spans="1:15" ht="15" customHeight="1" x14ac:dyDescent="0.3">
      <c r="A87">
        <v>1086</v>
      </c>
      <c r="B87" t="s">
        <v>256</v>
      </c>
      <c r="C87" t="s">
        <v>52</v>
      </c>
      <c r="D87" t="s">
        <v>145</v>
      </c>
      <c r="E87" t="s">
        <v>84</v>
      </c>
      <c r="F87" t="s">
        <v>55</v>
      </c>
      <c r="G87" t="s">
        <v>257</v>
      </c>
      <c r="H87">
        <v>4.2</v>
      </c>
      <c r="I87">
        <v>0</v>
      </c>
      <c r="J87">
        <v>2.6</v>
      </c>
      <c r="K87">
        <v>66</v>
      </c>
      <c r="L87">
        <v>11</v>
      </c>
      <c r="M87">
        <v>9</v>
      </c>
      <c r="N87">
        <v>25</v>
      </c>
      <c r="O87" t="s">
        <v>57</v>
      </c>
    </row>
    <row r="88" spans="1:15" ht="15" customHeight="1" x14ac:dyDescent="0.3">
      <c r="A88">
        <v>1087</v>
      </c>
      <c r="B88" t="s">
        <v>258</v>
      </c>
      <c r="C88" t="s">
        <v>67</v>
      </c>
      <c r="D88" t="s">
        <v>63</v>
      </c>
      <c r="E88" t="s">
        <v>54</v>
      </c>
      <c r="F88" t="s">
        <v>55</v>
      </c>
      <c r="G88" t="s">
        <v>259</v>
      </c>
      <c r="H88">
        <v>3.7</v>
      </c>
      <c r="I88">
        <v>79293</v>
      </c>
      <c r="J88">
        <v>4.8</v>
      </c>
      <c r="K88">
        <v>56</v>
      </c>
      <c r="L88">
        <v>28</v>
      </c>
      <c r="M88">
        <v>10</v>
      </c>
      <c r="N88">
        <v>16</v>
      </c>
      <c r="O88" t="s">
        <v>118</v>
      </c>
    </row>
    <row r="89" spans="1:15" ht="15" customHeight="1" x14ac:dyDescent="0.3">
      <c r="A89">
        <v>1088</v>
      </c>
      <c r="B89" t="s">
        <v>260</v>
      </c>
      <c r="C89" t="s">
        <v>52</v>
      </c>
      <c r="D89" t="s">
        <v>53</v>
      </c>
      <c r="E89" t="s">
        <v>68</v>
      </c>
      <c r="F89" t="s">
        <v>55</v>
      </c>
      <c r="G89" t="s">
        <v>261</v>
      </c>
      <c r="H89">
        <v>5.0999999999999996</v>
      </c>
      <c r="I89">
        <v>61049</v>
      </c>
      <c r="J89">
        <v>2.5</v>
      </c>
      <c r="K89">
        <v>52</v>
      </c>
      <c r="L89">
        <v>2</v>
      </c>
      <c r="M89">
        <v>6</v>
      </c>
      <c r="N89">
        <v>4</v>
      </c>
      <c r="O89" t="s">
        <v>57</v>
      </c>
    </row>
    <row r="90" spans="1:15" ht="15" customHeight="1" x14ac:dyDescent="0.3">
      <c r="A90">
        <v>1089</v>
      </c>
      <c r="B90" t="s">
        <v>262</v>
      </c>
      <c r="C90" t="s">
        <v>79</v>
      </c>
      <c r="D90" t="s">
        <v>123</v>
      </c>
      <c r="E90" t="s">
        <v>54</v>
      </c>
      <c r="F90" t="s">
        <v>55</v>
      </c>
      <c r="G90" t="s">
        <v>263</v>
      </c>
      <c r="H90">
        <v>5.2</v>
      </c>
      <c r="I90">
        <v>63674</v>
      </c>
      <c r="J90">
        <v>4.3</v>
      </c>
      <c r="K90">
        <v>53</v>
      </c>
      <c r="L90">
        <v>26</v>
      </c>
      <c r="M90">
        <v>8</v>
      </c>
      <c r="N90">
        <v>16</v>
      </c>
      <c r="O90" t="s">
        <v>57</v>
      </c>
    </row>
    <row r="91" spans="1:15" ht="15" customHeight="1" x14ac:dyDescent="0.3">
      <c r="A91">
        <v>1090</v>
      </c>
      <c r="B91" t="s">
        <v>264</v>
      </c>
      <c r="C91" t="s">
        <v>79</v>
      </c>
      <c r="D91" t="s">
        <v>167</v>
      </c>
      <c r="E91" t="s">
        <v>84</v>
      </c>
      <c r="F91" t="s">
        <v>60</v>
      </c>
      <c r="G91" t="s">
        <v>265</v>
      </c>
      <c r="H91">
        <v>3.5</v>
      </c>
      <c r="I91">
        <v>59654</v>
      </c>
      <c r="J91">
        <v>4.4000000000000004</v>
      </c>
      <c r="K91">
        <v>17</v>
      </c>
      <c r="L91">
        <v>27</v>
      </c>
      <c r="M91">
        <v>5</v>
      </c>
      <c r="N91">
        <v>9</v>
      </c>
      <c r="O91" t="s">
        <v>57</v>
      </c>
    </row>
    <row r="92" spans="1:15" ht="15" customHeight="1" x14ac:dyDescent="0.3">
      <c r="A92">
        <v>1091</v>
      </c>
      <c r="B92" t="s">
        <v>266</v>
      </c>
      <c r="C92" t="s">
        <v>96</v>
      </c>
      <c r="D92" t="s">
        <v>97</v>
      </c>
      <c r="E92" t="s">
        <v>84</v>
      </c>
      <c r="F92" t="s">
        <v>55</v>
      </c>
      <c r="G92" t="s">
        <v>267</v>
      </c>
      <c r="H92">
        <v>5.3</v>
      </c>
      <c r="I92">
        <v>50084</v>
      </c>
      <c r="J92">
        <v>3.2</v>
      </c>
      <c r="K92">
        <v>38</v>
      </c>
      <c r="L92">
        <v>26</v>
      </c>
      <c r="M92">
        <v>9</v>
      </c>
      <c r="N92">
        <v>19</v>
      </c>
      <c r="O92" t="s">
        <v>57</v>
      </c>
    </row>
    <row r="93" spans="1:15" ht="15" customHeight="1" x14ac:dyDescent="0.3">
      <c r="A93">
        <v>1092</v>
      </c>
      <c r="B93" t="s">
        <v>268</v>
      </c>
      <c r="C93" t="s">
        <v>79</v>
      </c>
      <c r="D93" t="s">
        <v>123</v>
      </c>
      <c r="E93" t="s">
        <v>77</v>
      </c>
      <c r="F93" t="s">
        <v>60</v>
      </c>
      <c r="G93" t="s">
        <v>269</v>
      </c>
      <c r="H93">
        <v>4.0999999999999996</v>
      </c>
      <c r="I93">
        <v>58309</v>
      </c>
      <c r="J93">
        <v>3.3</v>
      </c>
      <c r="K93">
        <v>69</v>
      </c>
      <c r="L93">
        <v>12</v>
      </c>
      <c r="M93">
        <v>8</v>
      </c>
      <c r="N93">
        <v>11</v>
      </c>
      <c r="O93" t="s">
        <v>57</v>
      </c>
    </row>
    <row r="94" spans="1:15" ht="15" customHeight="1" x14ac:dyDescent="0.3">
      <c r="A94">
        <v>1093</v>
      </c>
      <c r="B94" t="s">
        <v>270</v>
      </c>
      <c r="C94" t="s">
        <v>67</v>
      </c>
      <c r="D94" t="s">
        <v>63</v>
      </c>
      <c r="E94" t="s">
        <v>84</v>
      </c>
      <c r="F94" t="s">
        <v>55</v>
      </c>
      <c r="G94" t="s">
        <v>271</v>
      </c>
      <c r="H94">
        <v>6.6</v>
      </c>
      <c r="I94">
        <v>85426</v>
      </c>
      <c r="J94">
        <v>4.4000000000000004</v>
      </c>
      <c r="K94">
        <v>48</v>
      </c>
      <c r="L94">
        <v>12</v>
      </c>
      <c r="M94">
        <v>10</v>
      </c>
      <c r="N94">
        <v>21</v>
      </c>
      <c r="O94" t="s">
        <v>57</v>
      </c>
    </row>
    <row r="95" spans="1:15" ht="15" customHeight="1" x14ac:dyDescent="0.3">
      <c r="A95">
        <v>1094</v>
      </c>
      <c r="B95" t="s">
        <v>272</v>
      </c>
      <c r="C95" t="s">
        <v>67</v>
      </c>
      <c r="D95" t="s">
        <v>114</v>
      </c>
      <c r="E95" t="s">
        <v>77</v>
      </c>
      <c r="F95" t="s">
        <v>60</v>
      </c>
      <c r="G95" t="s">
        <v>273</v>
      </c>
      <c r="H95">
        <v>3.5</v>
      </c>
      <c r="I95">
        <v>135878</v>
      </c>
      <c r="J95">
        <v>4.7</v>
      </c>
      <c r="K95">
        <v>56</v>
      </c>
      <c r="L95">
        <v>3</v>
      </c>
      <c r="M95">
        <v>9</v>
      </c>
      <c r="N95">
        <v>0</v>
      </c>
      <c r="O95" t="s">
        <v>118</v>
      </c>
    </row>
    <row r="96" spans="1:15" ht="15" customHeight="1" x14ac:dyDescent="0.3">
      <c r="A96">
        <v>1095</v>
      </c>
      <c r="B96" t="s">
        <v>274</v>
      </c>
      <c r="C96" t="s">
        <v>96</v>
      </c>
      <c r="D96" t="s">
        <v>97</v>
      </c>
      <c r="E96" t="s">
        <v>68</v>
      </c>
      <c r="F96" t="s">
        <v>60</v>
      </c>
      <c r="G96" t="s">
        <v>275</v>
      </c>
      <c r="H96">
        <v>6</v>
      </c>
      <c r="I96">
        <v>52451</v>
      </c>
      <c r="J96">
        <v>3.7</v>
      </c>
      <c r="K96">
        <v>33</v>
      </c>
      <c r="L96">
        <v>10</v>
      </c>
      <c r="M96">
        <v>9</v>
      </c>
      <c r="N96">
        <v>23</v>
      </c>
      <c r="O96" t="s">
        <v>57</v>
      </c>
    </row>
    <row r="97" spans="1:15" ht="15" customHeight="1" x14ac:dyDescent="0.3">
      <c r="A97">
        <v>1096</v>
      </c>
      <c r="B97" t="s">
        <v>276</v>
      </c>
      <c r="C97" t="s">
        <v>96</v>
      </c>
      <c r="D97" t="s">
        <v>97</v>
      </c>
      <c r="E97" t="s">
        <v>54</v>
      </c>
      <c r="F97" t="s">
        <v>55</v>
      </c>
      <c r="G97" t="s">
        <v>277</v>
      </c>
      <c r="H97">
        <v>2</v>
      </c>
      <c r="I97">
        <v>67485</v>
      </c>
      <c r="J97">
        <v>3.5</v>
      </c>
      <c r="K97">
        <v>40</v>
      </c>
      <c r="L97">
        <v>20</v>
      </c>
      <c r="M97">
        <v>10</v>
      </c>
      <c r="N97">
        <v>25</v>
      </c>
      <c r="O97" t="s">
        <v>57</v>
      </c>
    </row>
    <row r="98" spans="1:15" ht="15" customHeight="1" x14ac:dyDescent="0.3">
      <c r="A98">
        <v>1097</v>
      </c>
      <c r="B98" t="s">
        <v>278</v>
      </c>
      <c r="C98" t="s">
        <v>58</v>
      </c>
      <c r="D98" t="s">
        <v>70</v>
      </c>
      <c r="E98" t="s">
        <v>68</v>
      </c>
      <c r="F98" t="s">
        <v>60</v>
      </c>
      <c r="G98" t="s">
        <v>279</v>
      </c>
      <c r="H98">
        <v>5.5</v>
      </c>
      <c r="I98">
        <v>59416</v>
      </c>
      <c r="J98">
        <v>5</v>
      </c>
      <c r="K98">
        <v>11</v>
      </c>
      <c r="L98">
        <v>13</v>
      </c>
      <c r="M98">
        <v>5</v>
      </c>
      <c r="N98">
        <v>25</v>
      </c>
      <c r="O98" t="s">
        <v>57</v>
      </c>
    </row>
    <row r="99" spans="1:15" ht="15" customHeight="1" x14ac:dyDescent="0.3">
      <c r="A99">
        <v>1098</v>
      </c>
      <c r="B99" t="s">
        <v>280</v>
      </c>
      <c r="C99" t="s">
        <v>67</v>
      </c>
      <c r="D99" t="s">
        <v>114</v>
      </c>
      <c r="E99" t="s">
        <v>77</v>
      </c>
      <c r="F99" t="s">
        <v>60</v>
      </c>
      <c r="G99" t="s">
        <v>281</v>
      </c>
      <c r="H99">
        <v>5.0999999999999996</v>
      </c>
      <c r="I99">
        <v>125948</v>
      </c>
      <c r="J99">
        <v>2.6</v>
      </c>
      <c r="K99">
        <v>7</v>
      </c>
      <c r="L99">
        <v>9</v>
      </c>
      <c r="M99">
        <v>7</v>
      </c>
      <c r="N99">
        <v>12</v>
      </c>
      <c r="O99" t="s">
        <v>57</v>
      </c>
    </row>
    <row r="100" spans="1:15" ht="15" customHeight="1" x14ac:dyDescent="0.3">
      <c r="A100">
        <v>1099</v>
      </c>
      <c r="B100" t="s">
        <v>282</v>
      </c>
      <c r="C100" t="s">
        <v>58</v>
      </c>
      <c r="D100" t="s">
        <v>212</v>
      </c>
      <c r="E100" t="s">
        <v>84</v>
      </c>
      <c r="F100" t="s">
        <v>55</v>
      </c>
      <c r="G100" t="s">
        <v>283</v>
      </c>
      <c r="H100">
        <v>2.4</v>
      </c>
      <c r="I100">
        <v>90900</v>
      </c>
      <c r="J100">
        <v>2.9</v>
      </c>
      <c r="K100">
        <v>10</v>
      </c>
      <c r="L100">
        <v>19</v>
      </c>
      <c r="M100">
        <v>8</v>
      </c>
      <c r="N100">
        <v>20</v>
      </c>
      <c r="O100" t="s">
        <v>57</v>
      </c>
    </row>
    <row r="101" spans="1:15" ht="15" customHeight="1" x14ac:dyDescent="0.3">
      <c r="A101">
        <v>1100</v>
      </c>
      <c r="B101" t="s">
        <v>284</v>
      </c>
      <c r="C101" t="s">
        <v>67</v>
      </c>
      <c r="D101" t="s">
        <v>63</v>
      </c>
      <c r="E101" t="s">
        <v>77</v>
      </c>
      <c r="F101" t="s">
        <v>55</v>
      </c>
      <c r="G101" t="s">
        <v>285</v>
      </c>
      <c r="H101">
        <v>3.2</v>
      </c>
      <c r="I101">
        <v>83322</v>
      </c>
      <c r="J101">
        <v>3.6</v>
      </c>
      <c r="K101">
        <v>1</v>
      </c>
      <c r="L101">
        <v>28</v>
      </c>
      <c r="M101">
        <v>8</v>
      </c>
      <c r="N101">
        <v>10</v>
      </c>
      <c r="O101" t="s">
        <v>57</v>
      </c>
    </row>
    <row r="102" spans="1:15" ht="15" customHeight="1" x14ac:dyDescent="0.3">
      <c r="A102">
        <v>1101</v>
      </c>
      <c r="B102" t="s">
        <v>286</v>
      </c>
      <c r="C102" t="s">
        <v>79</v>
      </c>
      <c r="D102" t="s">
        <v>80</v>
      </c>
      <c r="E102" t="s">
        <v>77</v>
      </c>
      <c r="F102" t="s">
        <v>60</v>
      </c>
      <c r="G102" t="s">
        <v>287</v>
      </c>
      <c r="H102">
        <v>3.5</v>
      </c>
      <c r="I102">
        <v>79802</v>
      </c>
      <c r="J102">
        <v>4.0999999999999996</v>
      </c>
      <c r="K102">
        <v>54</v>
      </c>
      <c r="L102">
        <v>22</v>
      </c>
      <c r="M102">
        <v>7</v>
      </c>
      <c r="N102">
        <v>15</v>
      </c>
      <c r="O102" t="s">
        <v>57</v>
      </c>
    </row>
    <row r="103" spans="1:15" ht="15" customHeight="1" x14ac:dyDescent="0.3">
      <c r="A103">
        <v>1102</v>
      </c>
      <c r="B103" t="s">
        <v>288</v>
      </c>
      <c r="C103" t="s">
        <v>96</v>
      </c>
      <c r="D103" t="s">
        <v>180</v>
      </c>
      <c r="E103" t="s">
        <v>84</v>
      </c>
      <c r="F103" t="s">
        <v>60</v>
      </c>
      <c r="G103" t="s">
        <v>289</v>
      </c>
      <c r="H103">
        <v>6.2</v>
      </c>
      <c r="I103">
        <v>70772</v>
      </c>
      <c r="J103">
        <v>3.5</v>
      </c>
      <c r="K103">
        <v>45</v>
      </c>
      <c r="L103">
        <v>18</v>
      </c>
      <c r="M103">
        <v>7</v>
      </c>
      <c r="N103">
        <v>23</v>
      </c>
      <c r="O103" t="s">
        <v>57</v>
      </c>
    </row>
    <row r="104" spans="1:15" ht="15" customHeight="1" x14ac:dyDescent="0.3">
      <c r="A104">
        <v>1103</v>
      </c>
      <c r="B104" t="s">
        <v>290</v>
      </c>
      <c r="C104" t="s">
        <v>90</v>
      </c>
      <c r="D104" t="s">
        <v>104</v>
      </c>
      <c r="E104" t="s">
        <v>54</v>
      </c>
      <c r="F104" t="s">
        <v>60</v>
      </c>
      <c r="G104" t="s">
        <v>291</v>
      </c>
      <c r="H104">
        <v>2</v>
      </c>
      <c r="I104">
        <v>116607</v>
      </c>
      <c r="J104">
        <v>4.8</v>
      </c>
      <c r="K104">
        <v>63</v>
      </c>
      <c r="L104">
        <v>26</v>
      </c>
      <c r="M104">
        <v>7</v>
      </c>
      <c r="N104">
        <v>25</v>
      </c>
      <c r="O104" t="s">
        <v>57</v>
      </c>
    </row>
    <row r="105" spans="1:15" ht="15" customHeight="1" x14ac:dyDescent="0.3">
      <c r="A105">
        <v>1104</v>
      </c>
      <c r="B105" t="s">
        <v>292</v>
      </c>
      <c r="C105" t="s">
        <v>67</v>
      </c>
      <c r="D105" t="s">
        <v>114</v>
      </c>
      <c r="E105" t="s">
        <v>64</v>
      </c>
      <c r="F105" t="s">
        <v>60</v>
      </c>
      <c r="G105" t="s">
        <v>293</v>
      </c>
      <c r="H105">
        <v>5.8</v>
      </c>
      <c r="I105">
        <v>133212</v>
      </c>
      <c r="J105">
        <v>4.2</v>
      </c>
      <c r="K105">
        <v>17</v>
      </c>
      <c r="L105">
        <v>20</v>
      </c>
      <c r="M105">
        <v>5</v>
      </c>
      <c r="N105">
        <v>21</v>
      </c>
      <c r="O105" t="s">
        <v>57</v>
      </c>
    </row>
    <row r="106" spans="1:15" ht="15" customHeight="1" x14ac:dyDescent="0.3">
      <c r="A106">
        <v>1105</v>
      </c>
      <c r="B106" t="s">
        <v>294</v>
      </c>
      <c r="C106" t="s">
        <v>90</v>
      </c>
      <c r="D106" t="s">
        <v>104</v>
      </c>
      <c r="E106" t="s">
        <v>77</v>
      </c>
      <c r="F106" t="s">
        <v>60</v>
      </c>
      <c r="G106" t="s">
        <v>295</v>
      </c>
      <c r="H106">
        <v>4.8</v>
      </c>
      <c r="I106">
        <v>119306</v>
      </c>
      <c r="J106">
        <v>2.7</v>
      </c>
      <c r="K106">
        <v>37</v>
      </c>
      <c r="L106">
        <v>10</v>
      </c>
      <c r="M106">
        <v>10</v>
      </c>
      <c r="N106">
        <v>14</v>
      </c>
      <c r="O106" t="s">
        <v>57</v>
      </c>
    </row>
    <row r="107" spans="1:15" ht="15" customHeight="1" x14ac:dyDescent="0.3">
      <c r="A107">
        <v>1106</v>
      </c>
      <c r="B107" t="s">
        <v>296</v>
      </c>
      <c r="C107" t="s">
        <v>58</v>
      </c>
      <c r="D107" t="s">
        <v>212</v>
      </c>
      <c r="E107" t="s">
        <v>68</v>
      </c>
      <c r="F107" t="s">
        <v>60</v>
      </c>
      <c r="G107" t="s">
        <v>196</v>
      </c>
      <c r="H107">
        <v>5.3</v>
      </c>
      <c r="I107">
        <v>90391</v>
      </c>
      <c r="J107">
        <v>3.1</v>
      </c>
      <c r="K107">
        <v>61</v>
      </c>
      <c r="L107">
        <v>30</v>
      </c>
      <c r="M107">
        <v>7</v>
      </c>
      <c r="N107">
        <v>24</v>
      </c>
      <c r="O107" t="s">
        <v>57</v>
      </c>
    </row>
    <row r="108" spans="1:15" ht="15" customHeight="1" x14ac:dyDescent="0.3">
      <c r="A108">
        <v>1107</v>
      </c>
      <c r="B108" t="s">
        <v>297</v>
      </c>
      <c r="C108" t="s">
        <v>90</v>
      </c>
      <c r="D108" t="s">
        <v>91</v>
      </c>
      <c r="E108" t="s">
        <v>84</v>
      </c>
      <c r="F108" t="s">
        <v>55</v>
      </c>
      <c r="G108" t="s">
        <v>298</v>
      </c>
      <c r="H108">
        <v>2.6</v>
      </c>
      <c r="I108">
        <v>47392</v>
      </c>
      <c r="J108">
        <v>4.7</v>
      </c>
      <c r="K108">
        <v>50</v>
      </c>
      <c r="L108">
        <v>30</v>
      </c>
      <c r="M108">
        <v>9</v>
      </c>
      <c r="N108">
        <v>12</v>
      </c>
      <c r="O108" t="s">
        <v>118</v>
      </c>
    </row>
    <row r="109" spans="1:15" ht="15" customHeight="1" x14ac:dyDescent="0.3">
      <c r="A109">
        <v>1108</v>
      </c>
      <c r="B109" t="s">
        <v>299</v>
      </c>
      <c r="C109" t="s">
        <v>75</v>
      </c>
      <c r="D109" t="s">
        <v>83</v>
      </c>
      <c r="E109" t="s">
        <v>68</v>
      </c>
      <c r="F109" t="s">
        <v>55</v>
      </c>
      <c r="G109" t="s">
        <v>300</v>
      </c>
      <c r="H109">
        <v>4.3</v>
      </c>
      <c r="I109">
        <v>77077</v>
      </c>
      <c r="J109">
        <v>4.2</v>
      </c>
      <c r="K109">
        <v>33</v>
      </c>
      <c r="L109">
        <v>18</v>
      </c>
      <c r="M109">
        <v>8</v>
      </c>
      <c r="N109">
        <v>21</v>
      </c>
      <c r="O109" t="s">
        <v>57</v>
      </c>
    </row>
    <row r="110" spans="1:15" ht="15" customHeight="1" x14ac:dyDescent="0.3">
      <c r="A110">
        <v>1109</v>
      </c>
      <c r="B110" t="s">
        <v>301</v>
      </c>
      <c r="C110" t="s">
        <v>79</v>
      </c>
      <c r="D110" t="s">
        <v>167</v>
      </c>
      <c r="E110" t="s">
        <v>84</v>
      </c>
      <c r="F110" t="s">
        <v>60</v>
      </c>
      <c r="G110" t="s">
        <v>302</v>
      </c>
      <c r="H110">
        <v>3.4</v>
      </c>
      <c r="I110">
        <v>61396</v>
      </c>
      <c r="J110">
        <v>3.3</v>
      </c>
      <c r="K110">
        <v>78</v>
      </c>
      <c r="L110">
        <v>7</v>
      </c>
      <c r="M110">
        <v>10</v>
      </c>
      <c r="N110">
        <v>3</v>
      </c>
      <c r="O110" t="s">
        <v>57</v>
      </c>
    </row>
    <row r="111" spans="1:15" ht="15" customHeight="1" x14ac:dyDescent="0.3">
      <c r="A111">
        <v>1110</v>
      </c>
      <c r="B111" t="s">
        <v>303</v>
      </c>
      <c r="C111" t="s">
        <v>52</v>
      </c>
      <c r="D111" t="s">
        <v>130</v>
      </c>
      <c r="E111" t="s">
        <v>54</v>
      </c>
      <c r="F111" t="s">
        <v>55</v>
      </c>
      <c r="G111" t="s">
        <v>304</v>
      </c>
      <c r="H111">
        <v>6.2</v>
      </c>
      <c r="I111">
        <v>81580</v>
      </c>
      <c r="J111">
        <v>2.6</v>
      </c>
      <c r="K111">
        <v>4</v>
      </c>
      <c r="L111">
        <v>9</v>
      </c>
      <c r="M111">
        <v>8</v>
      </c>
      <c r="N111">
        <v>4</v>
      </c>
      <c r="O111" t="s">
        <v>118</v>
      </c>
    </row>
    <row r="112" spans="1:15" ht="15" customHeight="1" x14ac:dyDescent="0.3">
      <c r="A112">
        <v>1111</v>
      </c>
      <c r="B112" t="s">
        <v>305</v>
      </c>
      <c r="C112" t="s">
        <v>79</v>
      </c>
      <c r="D112" t="s">
        <v>80</v>
      </c>
      <c r="E112" t="s">
        <v>84</v>
      </c>
      <c r="F112" t="s">
        <v>60</v>
      </c>
      <c r="G112" t="s">
        <v>306</v>
      </c>
      <c r="H112">
        <v>4.7</v>
      </c>
      <c r="I112">
        <v>87701</v>
      </c>
      <c r="J112">
        <v>3.5</v>
      </c>
      <c r="K112">
        <v>19</v>
      </c>
      <c r="L112">
        <v>28</v>
      </c>
      <c r="M112">
        <v>8</v>
      </c>
      <c r="N112">
        <v>21</v>
      </c>
      <c r="O112" t="s">
        <v>118</v>
      </c>
    </row>
    <row r="113" spans="1:15" ht="15" customHeight="1" x14ac:dyDescent="0.3">
      <c r="A113">
        <v>1112</v>
      </c>
      <c r="B113" t="s">
        <v>307</v>
      </c>
      <c r="C113" t="s">
        <v>75</v>
      </c>
      <c r="D113" t="s">
        <v>83</v>
      </c>
      <c r="E113" t="s">
        <v>64</v>
      </c>
      <c r="F113" t="s">
        <v>60</v>
      </c>
      <c r="G113" t="s">
        <v>308</v>
      </c>
      <c r="H113">
        <v>3</v>
      </c>
      <c r="I113">
        <v>77141</v>
      </c>
      <c r="J113">
        <v>3</v>
      </c>
      <c r="K113">
        <v>56</v>
      </c>
      <c r="L113">
        <v>30</v>
      </c>
      <c r="M113">
        <v>6</v>
      </c>
      <c r="N113">
        <v>12</v>
      </c>
      <c r="O113" t="s">
        <v>118</v>
      </c>
    </row>
    <row r="114" spans="1:15" ht="15" customHeight="1" x14ac:dyDescent="0.3">
      <c r="A114">
        <v>1113</v>
      </c>
      <c r="B114" t="s">
        <v>309</v>
      </c>
      <c r="C114" t="s">
        <v>90</v>
      </c>
      <c r="D114" t="s">
        <v>148</v>
      </c>
      <c r="E114" t="s">
        <v>54</v>
      </c>
      <c r="F114" t="s">
        <v>55</v>
      </c>
      <c r="G114" t="s">
        <v>310</v>
      </c>
      <c r="H114">
        <v>5.3</v>
      </c>
      <c r="I114">
        <v>76219</v>
      </c>
      <c r="J114">
        <v>4.9000000000000004</v>
      </c>
      <c r="K114">
        <v>58</v>
      </c>
      <c r="L114">
        <v>2</v>
      </c>
      <c r="M114">
        <v>10</v>
      </c>
      <c r="N114">
        <v>7</v>
      </c>
      <c r="O114" t="s">
        <v>57</v>
      </c>
    </row>
    <row r="115" spans="1:15" ht="15" customHeight="1" x14ac:dyDescent="0.3">
      <c r="A115">
        <v>1114</v>
      </c>
      <c r="B115" t="s">
        <v>311</v>
      </c>
      <c r="C115" t="s">
        <v>90</v>
      </c>
      <c r="D115" t="s">
        <v>148</v>
      </c>
      <c r="E115" t="s">
        <v>77</v>
      </c>
      <c r="F115" t="s">
        <v>60</v>
      </c>
      <c r="G115" t="s">
        <v>312</v>
      </c>
      <c r="H115">
        <v>5.5</v>
      </c>
      <c r="I115">
        <v>74126</v>
      </c>
      <c r="J115">
        <v>4.5</v>
      </c>
      <c r="K115">
        <v>26</v>
      </c>
      <c r="L115">
        <v>2</v>
      </c>
      <c r="M115">
        <v>9</v>
      </c>
      <c r="N115">
        <v>7</v>
      </c>
      <c r="O115" t="s">
        <v>57</v>
      </c>
    </row>
    <row r="116" spans="1:15" ht="15" customHeight="1" x14ac:dyDescent="0.3">
      <c r="A116">
        <v>1115</v>
      </c>
      <c r="B116" t="s">
        <v>313</v>
      </c>
      <c r="C116" t="s">
        <v>96</v>
      </c>
      <c r="D116" t="s">
        <v>120</v>
      </c>
      <c r="E116" t="s">
        <v>68</v>
      </c>
      <c r="F116" t="s">
        <v>55</v>
      </c>
      <c r="G116" t="s">
        <v>314</v>
      </c>
      <c r="H116">
        <v>2.4</v>
      </c>
      <c r="I116">
        <v>52529</v>
      </c>
      <c r="J116">
        <v>2.5</v>
      </c>
      <c r="K116">
        <v>18</v>
      </c>
      <c r="L116">
        <v>4</v>
      </c>
      <c r="M116">
        <v>9</v>
      </c>
      <c r="N116">
        <v>9</v>
      </c>
      <c r="O116" t="s">
        <v>57</v>
      </c>
    </row>
    <row r="117" spans="1:15" ht="15" customHeight="1" x14ac:dyDescent="0.3">
      <c r="A117">
        <v>1116</v>
      </c>
      <c r="B117" t="s">
        <v>315</v>
      </c>
      <c r="C117" t="s">
        <v>67</v>
      </c>
      <c r="D117" t="s">
        <v>189</v>
      </c>
      <c r="E117" t="s">
        <v>84</v>
      </c>
      <c r="F117" t="s">
        <v>55</v>
      </c>
      <c r="G117" t="s">
        <v>316</v>
      </c>
      <c r="H117">
        <v>4.8</v>
      </c>
      <c r="I117">
        <v>52796</v>
      </c>
      <c r="J117">
        <v>4</v>
      </c>
      <c r="K117">
        <v>2</v>
      </c>
      <c r="L117">
        <v>5</v>
      </c>
      <c r="M117">
        <v>7</v>
      </c>
      <c r="N117">
        <v>2</v>
      </c>
      <c r="O117" t="s">
        <v>118</v>
      </c>
    </row>
    <row r="118" spans="1:15" ht="15" customHeight="1" x14ac:dyDescent="0.3">
      <c r="A118">
        <v>1117</v>
      </c>
      <c r="B118" t="s">
        <v>317</v>
      </c>
      <c r="C118" t="s">
        <v>52</v>
      </c>
      <c r="D118" t="s">
        <v>53</v>
      </c>
      <c r="E118" t="s">
        <v>54</v>
      </c>
      <c r="F118" t="s">
        <v>55</v>
      </c>
      <c r="G118" t="s">
        <v>318</v>
      </c>
      <c r="H118">
        <v>4.2</v>
      </c>
      <c r="I118">
        <v>57689</v>
      </c>
      <c r="J118">
        <v>4.4000000000000004</v>
      </c>
      <c r="K118">
        <v>65</v>
      </c>
      <c r="L118">
        <v>18</v>
      </c>
      <c r="M118">
        <v>5</v>
      </c>
      <c r="N118">
        <v>15</v>
      </c>
      <c r="O118" t="s">
        <v>57</v>
      </c>
    </row>
    <row r="119" spans="1:15" ht="15" customHeight="1" x14ac:dyDescent="0.3">
      <c r="A119">
        <v>1118</v>
      </c>
      <c r="B119" t="s">
        <v>319</v>
      </c>
      <c r="C119" t="s">
        <v>52</v>
      </c>
      <c r="D119" t="s">
        <v>145</v>
      </c>
      <c r="E119" t="s">
        <v>68</v>
      </c>
      <c r="F119" t="s">
        <v>60</v>
      </c>
      <c r="G119" t="s">
        <v>320</v>
      </c>
      <c r="H119">
        <v>3.9</v>
      </c>
      <c r="I119">
        <v>54883</v>
      </c>
      <c r="J119">
        <v>3.6</v>
      </c>
      <c r="K119">
        <v>3</v>
      </c>
      <c r="L119">
        <v>1</v>
      </c>
      <c r="M119">
        <v>8</v>
      </c>
      <c r="N119">
        <v>13</v>
      </c>
      <c r="O119" t="s">
        <v>57</v>
      </c>
    </row>
    <row r="120" spans="1:15" ht="15" customHeight="1" x14ac:dyDescent="0.3">
      <c r="A120">
        <v>1119</v>
      </c>
      <c r="B120" t="s">
        <v>321</v>
      </c>
      <c r="C120" t="s">
        <v>52</v>
      </c>
      <c r="D120" t="s">
        <v>130</v>
      </c>
      <c r="E120" t="s">
        <v>54</v>
      </c>
      <c r="F120" t="s">
        <v>60</v>
      </c>
      <c r="G120" t="s">
        <v>322</v>
      </c>
      <c r="H120">
        <v>6.4</v>
      </c>
      <c r="I120">
        <v>79647</v>
      </c>
      <c r="J120">
        <v>3.3</v>
      </c>
      <c r="K120">
        <v>18</v>
      </c>
      <c r="L120">
        <v>2</v>
      </c>
      <c r="M120">
        <v>6</v>
      </c>
      <c r="N120">
        <v>9</v>
      </c>
      <c r="O120" t="s">
        <v>57</v>
      </c>
    </row>
    <row r="121" spans="1:15" ht="15" customHeight="1" x14ac:dyDescent="0.3">
      <c r="A121">
        <v>1120</v>
      </c>
      <c r="B121" t="s">
        <v>323</v>
      </c>
      <c r="C121" t="s">
        <v>79</v>
      </c>
      <c r="D121" t="s">
        <v>123</v>
      </c>
      <c r="E121" t="s">
        <v>54</v>
      </c>
      <c r="F121" t="s">
        <v>55</v>
      </c>
      <c r="G121" t="s">
        <v>324</v>
      </c>
      <c r="H121">
        <v>3.9</v>
      </c>
      <c r="I121">
        <v>56663</v>
      </c>
      <c r="J121">
        <v>3.6</v>
      </c>
      <c r="K121">
        <v>77</v>
      </c>
      <c r="L121">
        <v>13</v>
      </c>
      <c r="M121">
        <v>5</v>
      </c>
      <c r="N121">
        <v>23</v>
      </c>
      <c r="O121" t="s">
        <v>118</v>
      </c>
    </row>
    <row r="122" spans="1:15" ht="15" customHeight="1" x14ac:dyDescent="0.3">
      <c r="A122">
        <v>1121</v>
      </c>
      <c r="B122" t="s">
        <v>325</v>
      </c>
      <c r="C122" t="s">
        <v>79</v>
      </c>
      <c r="D122" t="s">
        <v>80</v>
      </c>
      <c r="E122" t="s">
        <v>84</v>
      </c>
      <c r="F122" t="s">
        <v>60</v>
      </c>
      <c r="G122" t="s">
        <v>326</v>
      </c>
      <c r="H122">
        <v>1.8</v>
      </c>
      <c r="I122">
        <v>77487</v>
      </c>
      <c r="J122">
        <v>3.5</v>
      </c>
      <c r="K122">
        <v>58</v>
      </c>
      <c r="L122">
        <v>12</v>
      </c>
      <c r="M122">
        <v>8</v>
      </c>
      <c r="N122">
        <v>24</v>
      </c>
      <c r="O122" t="s">
        <v>118</v>
      </c>
    </row>
    <row r="123" spans="1:15" ht="15" customHeight="1" x14ac:dyDescent="0.3">
      <c r="A123">
        <v>1122</v>
      </c>
      <c r="B123" t="s">
        <v>327</v>
      </c>
      <c r="C123" t="s">
        <v>52</v>
      </c>
      <c r="D123" t="s">
        <v>130</v>
      </c>
      <c r="F123" t="s">
        <v>60</v>
      </c>
      <c r="G123" t="s">
        <v>328</v>
      </c>
      <c r="H123">
        <v>4.7</v>
      </c>
      <c r="I123">
        <v>82001</v>
      </c>
      <c r="J123">
        <v>4.2</v>
      </c>
      <c r="K123">
        <v>60</v>
      </c>
      <c r="L123">
        <v>2</v>
      </c>
      <c r="M123">
        <v>5</v>
      </c>
      <c r="N123">
        <v>3</v>
      </c>
      <c r="O123" t="s">
        <v>118</v>
      </c>
    </row>
    <row r="124" spans="1:15" ht="15" customHeight="1" x14ac:dyDescent="0.3">
      <c r="A124">
        <v>1123</v>
      </c>
      <c r="B124" t="s">
        <v>329</v>
      </c>
      <c r="C124" t="s">
        <v>96</v>
      </c>
      <c r="D124" t="s">
        <v>120</v>
      </c>
      <c r="E124" t="s">
        <v>64</v>
      </c>
      <c r="F124" t="s">
        <v>60</v>
      </c>
      <c r="G124" t="s">
        <v>330</v>
      </c>
      <c r="H124">
        <v>3.7</v>
      </c>
      <c r="I124">
        <v>34965</v>
      </c>
      <c r="J124">
        <v>4</v>
      </c>
      <c r="K124">
        <v>71</v>
      </c>
      <c r="L124">
        <v>17</v>
      </c>
      <c r="M124">
        <v>7</v>
      </c>
      <c r="N124">
        <v>22</v>
      </c>
      <c r="O124" t="s">
        <v>118</v>
      </c>
    </row>
    <row r="125" spans="1:15" ht="15" customHeight="1" x14ac:dyDescent="0.3">
      <c r="A125">
        <v>1124</v>
      </c>
      <c r="B125" t="s">
        <v>331</v>
      </c>
      <c r="C125" t="s">
        <v>96</v>
      </c>
      <c r="D125" t="s">
        <v>97</v>
      </c>
      <c r="E125" t="s">
        <v>84</v>
      </c>
      <c r="F125" t="s">
        <v>55</v>
      </c>
      <c r="G125" t="s">
        <v>233</v>
      </c>
      <c r="H125">
        <v>6.5</v>
      </c>
      <c r="I125">
        <v>59425</v>
      </c>
      <c r="J125">
        <v>4</v>
      </c>
      <c r="K125">
        <v>45</v>
      </c>
      <c r="L125">
        <v>3</v>
      </c>
      <c r="M125">
        <v>9</v>
      </c>
      <c r="N125">
        <v>17</v>
      </c>
      <c r="O125" t="s">
        <v>57</v>
      </c>
    </row>
    <row r="126" spans="1:15" ht="15" customHeight="1" x14ac:dyDescent="0.3">
      <c r="A126">
        <v>1125</v>
      </c>
      <c r="B126" t="s">
        <v>332</v>
      </c>
      <c r="C126" t="s">
        <v>96</v>
      </c>
      <c r="D126" t="s">
        <v>120</v>
      </c>
      <c r="E126" t="s">
        <v>54</v>
      </c>
      <c r="F126" t="s">
        <v>55</v>
      </c>
      <c r="G126" t="s">
        <v>333</v>
      </c>
      <c r="H126">
        <v>4.9000000000000004</v>
      </c>
      <c r="I126">
        <v>51227</v>
      </c>
      <c r="J126">
        <v>3.4</v>
      </c>
      <c r="K126">
        <v>35</v>
      </c>
      <c r="L126">
        <v>18</v>
      </c>
      <c r="M126">
        <v>6</v>
      </c>
      <c r="N126">
        <v>14</v>
      </c>
      <c r="O126" t="s">
        <v>57</v>
      </c>
    </row>
    <row r="127" spans="1:15" ht="15" customHeight="1" x14ac:dyDescent="0.3">
      <c r="A127">
        <v>1126</v>
      </c>
      <c r="B127" t="s">
        <v>334</v>
      </c>
      <c r="C127" t="s">
        <v>58</v>
      </c>
      <c r="D127" t="s">
        <v>212</v>
      </c>
      <c r="E127" t="s">
        <v>77</v>
      </c>
      <c r="F127" t="s">
        <v>55</v>
      </c>
      <c r="G127" t="s">
        <v>335</v>
      </c>
      <c r="H127">
        <v>2.2000000000000002</v>
      </c>
      <c r="I127">
        <v>93763</v>
      </c>
      <c r="J127">
        <v>2.6</v>
      </c>
      <c r="K127">
        <v>34</v>
      </c>
      <c r="L127">
        <v>22</v>
      </c>
      <c r="M127">
        <v>7</v>
      </c>
      <c r="N127">
        <v>11</v>
      </c>
      <c r="O127" t="s">
        <v>57</v>
      </c>
    </row>
    <row r="128" spans="1:15" ht="15" customHeight="1" x14ac:dyDescent="0.3">
      <c r="A128">
        <v>1127</v>
      </c>
      <c r="B128" t="s">
        <v>336</v>
      </c>
      <c r="C128" t="s">
        <v>58</v>
      </c>
      <c r="D128" t="s">
        <v>212</v>
      </c>
      <c r="E128" t="s">
        <v>84</v>
      </c>
      <c r="F128" t="s">
        <v>60</v>
      </c>
      <c r="G128" t="s">
        <v>337</v>
      </c>
      <c r="H128">
        <v>4.5999999999999996</v>
      </c>
      <c r="I128">
        <v>87280</v>
      </c>
      <c r="J128">
        <v>2.9</v>
      </c>
      <c r="K128">
        <v>3</v>
      </c>
      <c r="L128">
        <v>2</v>
      </c>
      <c r="M128">
        <v>10</v>
      </c>
      <c r="N128">
        <v>17</v>
      </c>
      <c r="O128" t="s">
        <v>57</v>
      </c>
    </row>
    <row r="129" spans="1:15" ht="15" customHeight="1" x14ac:dyDescent="0.3">
      <c r="A129">
        <v>1128</v>
      </c>
      <c r="B129" t="s">
        <v>338</v>
      </c>
      <c r="C129" t="s">
        <v>75</v>
      </c>
      <c r="D129" t="s">
        <v>87</v>
      </c>
      <c r="E129" t="s">
        <v>54</v>
      </c>
      <c r="F129" t="s">
        <v>55</v>
      </c>
      <c r="G129" t="s">
        <v>339</v>
      </c>
      <c r="H129">
        <v>4.8</v>
      </c>
      <c r="I129">
        <v>50211</v>
      </c>
      <c r="J129">
        <v>4.3</v>
      </c>
      <c r="K129">
        <v>72</v>
      </c>
      <c r="L129">
        <v>19</v>
      </c>
      <c r="M129">
        <v>5</v>
      </c>
      <c r="N129">
        <v>2</v>
      </c>
      <c r="O129" t="s">
        <v>57</v>
      </c>
    </row>
    <row r="130" spans="1:15" ht="15" customHeight="1" x14ac:dyDescent="0.3">
      <c r="A130">
        <v>1129</v>
      </c>
      <c r="B130" t="s">
        <v>340</v>
      </c>
      <c r="C130" t="s">
        <v>52</v>
      </c>
      <c r="D130" t="s">
        <v>53</v>
      </c>
      <c r="E130" t="s">
        <v>54</v>
      </c>
      <c r="F130" t="s">
        <v>55</v>
      </c>
      <c r="G130" t="s">
        <v>341</v>
      </c>
      <c r="H130">
        <v>5.3</v>
      </c>
      <c r="I130">
        <v>57519</v>
      </c>
      <c r="J130">
        <v>4.2</v>
      </c>
      <c r="K130">
        <v>62</v>
      </c>
      <c r="L130">
        <v>19</v>
      </c>
      <c r="M130">
        <v>8</v>
      </c>
      <c r="N130">
        <v>14</v>
      </c>
      <c r="O130" t="s">
        <v>57</v>
      </c>
    </row>
    <row r="131" spans="1:15" ht="15" customHeight="1" x14ac:dyDescent="0.3">
      <c r="A131">
        <v>1130</v>
      </c>
      <c r="B131" t="s">
        <v>342</v>
      </c>
      <c r="C131" t="s">
        <v>75</v>
      </c>
      <c r="D131" t="s">
        <v>107</v>
      </c>
      <c r="E131" t="s">
        <v>77</v>
      </c>
      <c r="F131" t="s">
        <v>60</v>
      </c>
      <c r="G131" t="s">
        <v>343</v>
      </c>
      <c r="H131">
        <v>6.2</v>
      </c>
      <c r="I131">
        <v>69281</v>
      </c>
      <c r="J131">
        <v>4.2</v>
      </c>
      <c r="K131">
        <v>75</v>
      </c>
      <c r="L131">
        <v>15</v>
      </c>
      <c r="M131">
        <v>9</v>
      </c>
      <c r="N131">
        <v>22</v>
      </c>
      <c r="O131" t="s">
        <v>57</v>
      </c>
    </row>
    <row r="132" spans="1:15" ht="15" customHeight="1" x14ac:dyDescent="0.3">
      <c r="A132">
        <v>1131</v>
      </c>
      <c r="B132" t="s">
        <v>344</v>
      </c>
      <c r="C132" t="s">
        <v>58</v>
      </c>
      <c r="D132" t="s">
        <v>70</v>
      </c>
      <c r="F132" t="s">
        <v>55</v>
      </c>
      <c r="G132" t="s">
        <v>345</v>
      </c>
      <c r="H132">
        <v>6.8</v>
      </c>
      <c r="I132">
        <v>56698</v>
      </c>
      <c r="J132">
        <v>3.3</v>
      </c>
      <c r="K132">
        <v>27</v>
      </c>
      <c r="L132">
        <v>24</v>
      </c>
      <c r="M132">
        <v>6</v>
      </c>
      <c r="N132">
        <v>25</v>
      </c>
      <c r="O132" t="s">
        <v>57</v>
      </c>
    </row>
    <row r="133" spans="1:15" ht="15" customHeight="1" x14ac:dyDescent="0.3">
      <c r="A133">
        <v>1132</v>
      </c>
      <c r="B133" t="s">
        <v>346</v>
      </c>
      <c r="C133" t="s">
        <v>90</v>
      </c>
      <c r="D133" t="s">
        <v>148</v>
      </c>
      <c r="E133" t="s">
        <v>64</v>
      </c>
      <c r="F133" t="s">
        <v>55</v>
      </c>
      <c r="G133" t="s">
        <v>347</v>
      </c>
      <c r="H133">
        <v>2.6</v>
      </c>
      <c r="I133">
        <v>84111</v>
      </c>
      <c r="J133">
        <v>2.9</v>
      </c>
      <c r="K133">
        <v>48</v>
      </c>
      <c r="L133">
        <v>17</v>
      </c>
      <c r="M133">
        <v>10</v>
      </c>
      <c r="N133">
        <v>8</v>
      </c>
      <c r="O133" t="s">
        <v>57</v>
      </c>
    </row>
    <row r="134" spans="1:15" ht="15" customHeight="1" x14ac:dyDescent="0.3">
      <c r="A134">
        <v>1133</v>
      </c>
      <c r="B134" t="s">
        <v>348</v>
      </c>
      <c r="C134" t="s">
        <v>79</v>
      </c>
      <c r="D134" t="s">
        <v>123</v>
      </c>
      <c r="E134" t="s">
        <v>84</v>
      </c>
      <c r="F134" t="s">
        <v>60</v>
      </c>
      <c r="G134" t="s">
        <v>349</v>
      </c>
      <c r="H134">
        <v>6.6</v>
      </c>
      <c r="I134">
        <v>61294</v>
      </c>
      <c r="J134">
        <v>2.5</v>
      </c>
      <c r="K134">
        <v>9</v>
      </c>
      <c r="L134">
        <v>27</v>
      </c>
      <c r="M134">
        <v>7</v>
      </c>
      <c r="N134">
        <v>19</v>
      </c>
      <c r="O134" t="s">
        <v>57</v>
      </c>
    </row>
    <row r="135" spans="1:15" ht="15" customHeight="1" x14ac:dyDescent="0.3">
      <c r="A135">
        <v>1134</v>
      </c>
      <c r="B135" t="s">
        <v>350</v>
      </c>
      <c r="C135" t="s">
        <v>75</v>
      </c>
      <c r="D135" t="s">
        <v>83</v>
      </c>
      <c r="E135" t="s">
        <v>64</v>
      </c>
      <c r="F135" t="s">
        <v>55</v>
      </c>
      <c r="G135" t="s">
        <v>351</v>
      </c>
      <c r="H135">
        <v>4.5999999999999996</v>
      </c>
      <c r="I135">
        <v>65683</v>
      </c>
      <c r="J135">
        <v>4.9000000000000004</v>
      </c>
      <c r="K135">
        <v>21</v>
      </c>
      <c r="L135">
        <v>25</v>
      </c>
      <c r="M135">
        <v>9</v>
      </c>
      <c r="N135">
        <v>15</v>
      </c>
      <c r="O135" t="s">
        <v>57</v>
      </c>
    </row>
    <row r="136" spans="1:15" ht="15" customHeight="1" x14ac:dyDescent="0.3">
      <c r="A136">
        <v>1135</v>
      </c>
      <c r="B136" t="s">
        <v>352</v>
      </c>
      <c r="C136" t="s">
        <v>79</v>
      </c>
      <c r="D136" t="s">
        <v>167</v>
      </c>
      <c r="E136" t="s">
        <v>77</v>
      </c>
      <c r="F136" t="s">
        <v>60</v>
      </c>
      <c r="G136" t="s">
        <v>312</v>
      </c>
      <c r="H136">
        <v>5.5</v>
      </c>
      <c r="I136">
        <v>57276</v>
      </c>
      <c r="J136">
        <v>4</v>
      </c>
      <c r="K136">
        <v>67</v>
      </c>
      <c r="L136">
        <v>2</v>
      </c>
      <c r="M136">
        <v>8</v>
      </c>
      <c r="N136">
        <v>10</v>
      </c>
      <c r="O136" t="s">
        <v>57</v>
      </c>
    </row>
    <row r="137" spans="1:15" ht="15" customHeight="1" x14ac:dyDescent="0.3">
      <c r="A137">
        <v>1136</v>
      </c>
      <c r="B137" t="s">
        <v>353</v>
      </c>
      <c r="C137" t="s">
        <v>96</v>
      </c>
      <c r="D137" t="s">
        <v>120</v>
      </c>
      <c r="E137" t="s">
        <v>77</v>
      </c>
      <c r="F137" t="s">
        <v>55</v>
      </c>
      <c r="G137" t="s">
        <v>354</v>
      </c>
      <c r="H137">
        <v>6.4</v>
      </c>
      <c r="I137">
        <v>49727</v>
      </c>
      <c r="J137">
        <v>4.0999999999999996</v>
      </c>
      <c r="K137">
        <v>67</v>
      </c>
      <c r="L137">
        <v>16</v>
      </c>
      <c r="M137">
        <v>6</v>
      </c>
      <c r="N137">
        <v>25</v>
      </c>
      <c r="O137" t="s">
        <v>57</v>
      </c>
    </row>
    <row r="138" spans="1:15" ht="15" customHeight="1" x14ac:dyDescent="0.3">
      <c r="A138">
        <v>1137</v>
      </c>
      <c r="B138" t="s">
        <v>355</v>
      </c>
      <c r="C138" t="s">
        <v>90</v>
      </c>
      <c r="D138" t="s">
        <v>91</v>
      </c>
      <c r="E138" t="s">
        <v>84</v>
      </c>
      <c r="F138" t="s">
        <v>60</v>
      </c>
      <c r="G138" t="s">
        <v>356</v>
      </c>
      <c r="H138">
        <v>5.4</v>
      </c>
      <c r="I138">
        <v>46464</v>
      </c>
      <c r="J138">
        <v>2.9</v>
      </c>
      <c r="K138">
        <v>19</v>
      </c>
      <c r="L138">
        <v>24</v>
      </c>
      <c r="M138">
        <v>10</v>
      </c>
      <c r="N138">
        <v>3</v>
      </c>
      <c r="O138" t="s">
        <v>57</v>
      </c>
    </row>
    <row r="139" spans="1:15" ht="15" customHeight="1" x14ac:dyDescent="0.3">
      <c r="A139">
        <v>1138</v>
      </c>
      <c r="B139" t="s">
        <v>357</v>
      </c>
      <c r="C139" t="s">
        <v>96</v>
      </c>
      <c r="E139" t="s">
        <v>64</v>
      </c>
      <c r="F139" t="s">
        <v>55</v>
      </c>
      <c r="G139" t="s">
        <v>358</v>
      </c>
      <c r="H139">
        <v>2.6</v>
      </c>
      <c r="I139">
        <v>68988</v>
      </c>
      <c r="J139">
        <v>3.6</v>
      </c>
      <c r="K139">
        <v>72</v>
      </c>
      <c r="L139">
        <v>20</v>
      </c>
      <c r="M139">
        <v>10</v>
      </c>
      <c r="N139">
        <v>20</v>
      </c>
      <c r="O139" t="s">
        <v>57</v>
      </c>
    </row>
    <row r="140" spans="1:15" ht="15" customHeight="1" x14ac:dyDescent="0.3">
      <c r="A140">
        <v>1139</v>
      </c>
      <c r="B140" t="s">
        <v>359</v>
      </c>
      <c r="C140" t="s">
        <v>79</v>
      </c>
      <c r="D140" t="s">
        <v>167</v>
      </c>
      <c r="E140" t="s">
        <v>64</v>
      </c>
      <c r="F140" t="s">
        <v>60</v>
      </c>
      <c r="G140" t="s">
        <v>360</v>
      </c>
      <c r="H140">
        <v>4.2</v>
      </c>
      <c r="I140">
        <v>57490</v>
      </c>
      <c r="J140">
        <v>4.0999999999999996</v>
      </c>
      <c r="K140">
        <v>35</v>
      </c>
      <c r="L140">
        <v>18</v>
      </c>
      <c r="M140">
        <v>5</v>
      </c>
      <c r="N140">
        <v>12</v>
      </c>
      <c r="O140" t="s">
        <v>57</v>
      </c>
    </row>
    <row r="141" spans="1:15" ht="15" customHeight="1" x14ac:dyDescent="0.3">
      <c r="A141">
        <v>1140</v>
      </c>
      <c r="B141" t="s">
        <v>361</v>
      </c>
      <c r="C141" t="s">
        <v>79</v>
      </c>
      <c r="D141" t="s">
        <v>167</v>
      </c>
      <c r="E141" t="s">
        <v>84</v>
      </c>
      <c r="F141" t="s">
        <v>60</v>
      </c>
      <c r="G141" t="s">
        <v>362</v>
      </c>
      <c r="H141">
        <v>6.5</v>
      </c>
      <c r="I141">
        <v>55082</v>
      </c>
      <c r="J141">
        <v>4.5999999999999996</v>
      </c>
      <c r="K141">
        <v>9</v>
      </c>
      <c r="L141">
        <v>20</v>
      </c>
      <c r="M141">
        <v>5</v>
      </c>
      <c r="N141">
        <v>20</v>
      </c>
      <c r="O141" t="s">
        <v>57</v>
      </c>
    </row>
    <row r="142" spans="1:15" ht="15" customHeight="1" x14ac:dyDescent="0.3">
      <c r="A142">
        <v>1141</v>
      </c>
      <c r="B142" t="s">
        <v>363</v>
      </c>
      <c r="C142" t="s">
        <v>58</v>
      </c>
      <c r="D142" t="s">
        <v>212</v>
      </c>
      <c r="E142" t="s">
        <v>54</v>
      </c>
      <c r="F142" t="s">
        <v>55</v>
      </c>
      <c r="G142" t="s">
        <v>364</v>
      </c>
      <c r="H142">
        <v>2.4</v>
      </c>
      <c r="I142">
        <v>86344</v>
      </c>
      <c r="J142">
        <v>3.6</v>
      </c>
      <c r="K142">
        <v>73</v>
      </c>
      <c r="L142">
        <v>20</v>
      </c>
      <c r="M142">
        <v>6</v>
      </c>
      <c r="N142">
        <v>11</v>
      </c>
      <c r="O142" t="s">
        <v>57</v>
      </c>
    </row>
    <row r="143" spans="1:15" ht="15" customHeight="1" x14ac:dyDescent="0.3">
      <c r="A143">
        <v>1142</v>
      </c>
      <c r="B143" t="s">
        <v>365</v>
      </c>
      <c r="C143" t="s">
        <v>90</v>
      </c>
      <c r="D143" t="s">
        <v>148</v>
      </c>
      <c r="E143" t="s">
        <v>84</v>
      </c>
      <c r="F143" t="s">
        <v>60</v>
      </c>
      <c r="G143" t="s">
        <v>366</v>
      </c>
      <c r="H143">
        <v>6.2</v>
      </c>
      <c r="I143">
        <v>81253</v>
      </c>
      <c r="J143">
        <v>5</v>
      </c>
      <c r="K143">
        <v>10</v>
      </c>
      <c r="L143">
        <v>16</v>
      </c>
      <c r="M143">
        <v>10</v>
      </c>
      <c r="N143">
        <v>6</v>
      </c>
      <c r="O143" t="s">
        <v>118</v>
      </c>
    </row>
    <row r="144" spans="1:15" ht="15" customHeight="1" x14ac:dyDescent="0.3">
      <c r="A144">
        <v>1143</v>
      </c>
      <c r="B144" t="s">
        <v>367</v>
      </c>
      <c r="C144" t="s">
        <v>58</v>
      </c>
      <c r="D144" t="s">
        <v>212</v>
      </c>
      <c r="E144" t="s">
        <v>54</v>
      </c>
      <c r="F144" t="s">
        <v>55</v>
      </c>
      <c r="G144" t="s">
        <v>368</v>
      </c>
      <c r="H144">
        <v>3.4</v>
      </c>
      <c r="I144">
        <v>90201</v>
      </c>
      <c r="J144">
        <v>3.4</v>
      </c>
      <c r="K144">
        <v>36</v>
      </c>
      <c r="L144">
        <v>12</v>
      </c>
      <c r="M144">
        <v>8</v>
      </c>
      <c r="N144">
        <v>25</v>
      </c>
      <c r="O144" t="s">
        <v>57</v>
      </c>
    </row>
    <row r="145" spans="1:15" ht="15" customHeight="1" x14ac:dyDescent="0.3">
      <c r="A145">
        <v>1144</v>
      </c>
      <c r="B145" t="s">
        <v>369</v>
      </c>
      <c r="C145" t="s">
        <v>96</v>
      </c>
      <c r="D145" t="s">
        <v>97</v>
      </c>
      <c r="E145" t="s">
        <v>54</v>
      </c>
      <c r="F145" t="s">
        <v>55</v>
      </c>
      <c r="G145" t="s">
        <v>370</v>
      </c>
      <c r="H145">
        <v>3.2</v>
      </c>
      <c r="I145">
        <v>60965</v>
      </c>
      <c r="J145">
        <v>2.7</v>
      </c>
      <c r="K145">
        <v>12</v>
      </c>
      <c r="L145">
        <v>17</v>
      </c>
      <c r="M145">
        <v>10</v>
      </c>
      <c r="N145">
        <v>13</v>
      </c>
      <c r="O145" t="s">
        <v>57</v>
      </c>
    </row>
    <row r="146" spans="1:15" ht="15" customHeight="1" x14ac:dyDescent="0.3">
      <c r="A146">
        <v>1145</v>
      </c>
      <c r="C146" t="s">
        <v>75</v>
      </c>
      <c r="D146" t="s">
        <v>83</v>
      </c>
      <c r="E146" t="s">
        <v>77</v>
      </c>
      <c r="F146" t="s">
        <v>55</v>
      </c>
      <c r="G146" t="s">
        <v>371</v>
      </c>
      <c r="H146">
        <v>3.6</v>
      </c>
      <c r="I146">
        <v>69634</v>
      </c>
      <c r="J146">
        <v>4.8</v>
      </c>
      <c r="K146">
        <v>39</v>
      </c>
      <c r="L146">
        <v>30</v>
      </c>
      <c r="M146">
        <v>10</v>
      </c>
      <c r="N146">
        <v>23</v>
      </c>
      <c r="O146" t="s">
        <v>57</v>
      </c>
    </row>
    <row r="147" spans="1:15" ht="15" customHeight="1" x14ac:dyDescent="0.3">
      <c r="A147">
        <v>1146</v>
      </c>
      <c r="B147" t="s">
        <v>372</v>
      </c>
      <c r="C147" t="s">
        <v>75</v>
      </c>
      <c r="D147" t="s">
        <v>107</v>
      </c>
      <c r="E147" t="s">
        <v>64</v>
      </c>
      <c r="F147" t="s">
        <v>55</v>
      </c>
      <c r="G147" t="s">
        <v>373</v>
      </c>
      <c r="H147">
        <v>3.2</v>
      </c>
      <c r="I147">
        <v>70763</v>
      </c>
      <c r="J147">
        <v>4.5</v>
      </c>
      <c r="K147">
        <v>67</v>
      </c>
      <c r="L147">
        <v>2</v>
      </c>
      <c r="M147">
        <v>10</v>
      </c>
      <c r="N147">
        <v>22</v>
      </c>
      <c r="O147" t="s">
        <v>57</v>
      </c>
    </row>
    <row r="148" spans="1:15" ht="15" customHeight="1" x14ac:dyDescent="0.3">
      <c r="A148">
        <v>1147</v>
      </c>
      <c r="B148" t="s">
        <v>374</v>
      </c>
      <c r="C148" t="s">
        <v>75</v>
      </c>
      <c r="D148" t="s">
        <v>76</v>
      </c>
      <c r="E148" t="s">
        <v>64</v>
      </c>
      <c r="F148" t="s">
        <v>55</v>
      </c>
      <c r="G148" t="s">
        <v>375</v>
      </c>
      <c r="H148">
        <v>5.8</v>
      </c>
      <c r="I148">
        <v>97018</v>
      </c>
      <c r="J148">
        <v>3.4</v>
      </c>
      <c r="K148">
        <v>62</v>
      </c>
      <c r="L148">
        <v>6</v>
      </c>
      <c r="M148">
        <v>6</v>
      </c>
      <c r="N148">
        <v>5</v>
      </c>
      <c r="O148" t="s">
        <v>57</v>
      </c>
    </row>
    <row r="149" spans="1:15" ht="15" customHeight="1" x14ac:dyDescent="0.3">
      <c r="A149">
        <v>1148</v>
      </c>
      <c r="B149" t="s">
        <v>376</v>
      </c>
      <c r="C149" t="s">
        <v>58</v>
      </c>
      <c r="D149" t="s">
        <v>212</v>
      </c>
      <c r="E149" t="s">
        <v>77</v>
      </c>
      <c r="F149" t="s">
        <v>55</v>
      </c>
      <c r="G149" t="s">
        <v>377</v>
      </c>
      <c r="H149">
        <v>2.1</v>
      </c>
      <c r="I149">
        <v>102253</v>
      </c>
      <c r="J149">
        <v>2.6</v>
      </c>
      <c r="K149">
        <v>43</v>
      </c>
      <c r="L149">
        <v>28</v>
      </c>
      <c r="M149">
        <v>9</v>
      </c>
      <c r="N149">
        <v>5</v>
      </c>
      <c r="O149" t="s">
        <v>57</v>
      </c>
    </row>
    <row r="150" spans="1:15" ht="15" customHeight="1" x14ac:dyDescent="0.3">
      <c r="A150">
        <v>1149</v>
      </c>
      <c r="B150" t="s">
        <v>378</v>
      </c>
      <c r="D150" t="s">
        <v>114</v>
      </c>
      <c r="E150" t="s">
        <v>84</v>
      </c>
      <c r="F150" t="s">
        <v>60</v>
      </c>
      <c r="G150" t="s">
        <v>149</v>
      </c>
      <c r="H150">
        <v>2.5</v>
      </c>
      <c r="I150">
        <v>130424</v>
      </c>
      <c r="J150">
        <v>4.3</v>
      </c>
      <c r="K150">
        <v>5</v>
      </c>
      <c r="L150">
        <v>13</v>
      </c>
      <c r="M150">
        <v>7</v>
      </c>
      <c r="N150">
        <v>22</v>
      </c>
      <c r="O150" t="s">
        <v>57</v>
      </c>
    </row>
    <row r="151" spans="1:15" ht="15" customHeight="1" x14ac:dyDescent="0.3">
      <c r="A151">
        <v>1150</v>
      </c>
      <c r="B151" t="s">
        <v>379</v>
      </c>
      <c r="C151" t="s">
        <v>96</v>
      </c>
      <c r="D151" t="s">
        <v>97</v>
      </c>
      <c r="E151" t="s">
        <v>54</v>
      </c>
      <c r="F151" t="s">
        <v>60</v>
      </c>
      <c r="G151" t="s">
        <v>380</v>
      </c>
      <c r="H151">
        <v>2.4</v>
      </c>
      <c r="I151">
        <v>64710</v>
      </c>
      <c r="J151">
        <v>3.1</v>
      </c>
      <c r="K151">
        <v>30</v>
      </c>
      <c r="L151">
        <v>9</v>
      </c>
      <c r="M151">
        <v>8</v>
      </c>
      <c r="N151">
        <v>7</v>
      </c>
      <c r="O151" t="s">
        <v>57</v>
      </c>
    </row>
    <row r="152" spans="1:15" ht="15" customHeight="1" x14ac:dyDescent="0.3">
      <c r="A152">
        <v>1001</v>
      </c>
      <c r="B152" t="s">
        <v>381</v>
      </c>
      <c r="C152" t="s">
        <v>52</v>
      </c>
      <c r="D152" t="s">
        <v>53</v>
      </c>
      <c r="E152" t="s">
        <v>54</v>
      </c>
      <c r="G152" t="s">
        <v>56</v>
      </c>
      <c r="H152">
        <v>6.7</v>
      </c>
      <c r="I152">
        <v>52012</v>
      </c>
      <c r="J152">
        <v>3.1</v>
      </c>
      <c r="K152">
        <v>17</v>
      </c>
      <c r="L152">
        <v>23</v>
      </c>
      <c r="M152">
        <v>5</v>
      </c>
      <c r="N152">
        <v>22</v>
      </c>
      <c r="O152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2"/>
  <sheetViews>
    <sheetView topLeftCell="A2" zoomScaleNormal="100" workbookViewId="0">
      <selection activeCell="D8" sqref="A2:O152"/>
    </sheetView>
  </sheetViews>
  <sheetFormatPr defaultColWidth="8.6640625" defaultRowHeight="14.4" x14ac:dyDescent="0.3"/>
  <cols>
    <col min="1" max="1" width="13" customWidth="1"/>
    <col min="2" max="2" width="25.33203125" customWidth="1"/>
    <col min="3" max="3" width="19.44140625" customWidth="1"/>
    <col min="4" max="4" width="23" customWidth="1"/>
    <col min="5" max="5" width="13" customWidth="1"/>
    <col min="6" max="6" width="10.33203125" customWidth="1"/>
    <col min="7" max="7" width="12" customWidth="1"/>
    <col min="8" max="8" width="18" customWidth="1"/>
    <col min="9" max="9" width="15" customWidth="1"/>
    <col min="10" max="10" width="19" customWidth="1"/>
    <col min="11" max="12" width="16" customWidth="1"/>
    <col min="13" max="14" width="20" customWidth="1"/>
    <col min="15" max="15" width="8" customWidth="1"/>
  </cols>
  <sheetData>
    <row r="1" spans="1:15" ht="15" customHeight="1" x14ac:dyDescent="0.3">
      <c r="A1" s="3" t="s">
        <v>8</v>
      </c>
      <c r="B1" s="3" t="s">
        <v>10</v>
      </c>
      <c r="C1" s="3" t="s">
        <v>12</v>
      </c>
      <c r="D1" s="3" t="s">
        <v>14</v>
      </c>
      <c r="E1" s="3" t="s">
        <v>16</v>
      </c>
      <c r="F1" s="3" t="s">
        <v>18</v>
      </c>
      <c r="G1" s="3" t="s">
        <v>20</v>
      </c>
      <c r="H1" s="3" t="s">
        <v>22</v>
      </c>
      <c r="I1" s="3" t="s">
        <v>24</v>
      </c>
      <c r="J1" s="3" t="s">
        <v>26</v>
      </c>
      <c r="K1" s="3" t="s">
        <v>28</v>
      </c>
      <c r="L1" s="3" t="s">
        <v>30</v>
      </c>
      <c r="M1" s="3" t="s">
        <v>32</v>
      </c>
      <c r="N1" s="3" t="s">
        <v>34</v>
      </c>
      <c r="O1" s="3" t="s">
        <v>36</v>
      </c>
    </row>
    <row r="2" spans="1:15" ht="15" customHeight="1" x14ac:dyDescent="0.3">
      <c r="A2">
        <v>1001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>
        <v>6.7</v>
      </c>
      <c r="I2">
        <v>52012</v>
      </c>
      <c r="J2">
        <v>3.1</v>
      </c>
      <c r="K2">
        <v>17</v>
      </c>
      <c r="L2">
        <v>23</v>
      </c>
      <c r="M2">
        <v>5</v>
      </c>
      <c r="N2">
        <v>22</v>
      </c>
      <c r="O2" t="s">
        <v>57</v>
      </c>
    </row>
    <row r="3" spans="1:15" ht="15" customHeight="1" x14ac:dyDescent="0.3">
      <c r="A3">
        <f t="shared" ref="A3:A66" si="0">(A2+1)</f>
        <v>1002</v>
      </c>
      <c r="B3" t="s">
        <v>382</v>
      </c>
      <c r="C3" t="s">
        <v>58</v>
      </c>
      <c r="D3" t="s">
        <v>59</v>
      </c>
      <c r="E3" t="s">
        <v>54</v>
      </c>
      <c r="F3" t="s">
        <v>60</v>
      </c>
      <c r="G3" t="s">
        <v>61</v>
      </c>
      <c r="H3">
        <v>6.6</v>
      </c>
      <c r="I3">
        <v>60976</v>
      </c>
      <c r="J3">
        <v>2.7</v>
      </c>
      <c r="K3">
        <v>29</v>
      </c>
      <c r="L3">
        <v>16</v>
      </c>
      <c r="M3">
        <v>9</v>
      </c>
      <c r="N3">
        <v>1</v>
      </c>
      <c r="O3" t="s">
        <v>57</v>
      </c>
    </row>
    <row r="4" spans="1:15" ht="15" customHeight="1" x14ac:dyDescent="0.3">
      <c r="A4">
        <f t="shared" si="0"/>
        <v>1003</v>
      </c>
      <c r="B4" t="s">
        <v>62</v>
      </c>
      <c r="C4" t="s">
        <v>382</v>
      </c>
      <c r="D4" t="s">
        <v>63</v>
      </c>
      <c r="E4" t="s">
        <v>64</v>
      </c>
      <c r="F4" t="s">
        <v>55</v>
      </c>
      <c r="G4" t="s">
        <v>65</v>
      </c>
      <c r="H4">
        <v>3.5</v>
      </c>
      <c r="I4">
        <v>84115</v>
      </c>
      <c r="J4">
        <v>4.5</v>
      </c>
      <c r="K4">
        <f>ROUND(AVERAGE(K5:K152), 0)</f>
        <v>41</v>
      </c>
      <c r="L4">
        <v>24</v>
      </c>
      <c r="M4">
        <v>6</v>
      </c>
      <c r="N4">
        <v>23</v>
      </c>
      <c r="O4" t="s">
        <v>57</v>
      </c>
    </row>
    <row r="5" spans="1:15" ht="15" customHeight="1" x14ac:dyDescent="0.3">
      <c r="A5">
        <f t="shared" si="0"/>
        <v>1004</v>
      </c>
      <c r="B5" t="s">
        <v>66</v>
      </c>
      <c r="C5" t="s">
        <v>67</v>
      </c>
      <c r="D5" t="s">
        <v>382</v>
      </c>
      <c r="E5" t="s">
        <v>68</v>
      </c>
      <c r="F5" t="s">
        <v>60</v>
      </c>
      <c r="G5" t="s">
        <v>69</v>
      </c>
      <c r="H5">
        <v>6.3</v>
      </c>
      <c r="I5">
        <v>78039</v>
      </c>
      <c r="J5">
        <v>3.4</v>
      </c>
      <c r="K5">
        <v>45</v>
      </c>
      <c r="L5">
        <v>27</v>
      </c>
      <c r="M5">
        <v>7</v>
      </c>
      <c r="N5">
        <v>20</v>
      </c>
      <c r="O5" t="s">
        <v>57</v>
      </c>
    </row>
    <row r="6" spans="1:15" ht="15" customHeight="1" x14ac:dyDescent="0.3">
      <c r="A6">
        <f t="shared" si="0"/>
        <v>1005</v>
      </c>
      <c r="B6" t="s">
        <v>383</v>
      </c>
      <c r="C6" t="s">
        <v>58</v>
      </c>
      <c r="D6" t="s">
        <v>70</v>
      </c>
      <c r="E6" t="s">
        <v>382</v>
      </c>
      <c r="F6" t="s">
        <v>55</v>
      </c>
      <c r="G6" t="s">
        <v>71</v>
      </c>
      <c r="H6">
        <v>4.7</v>
      </c>
      <c r="I6">
        <v>52582</v>
      </c>
      <c r="J6">
        <v>3.9</v>
      </c>
      <c r="K6">
        <v>80</v>
      </c>
      <c r="L6">
        <v>19</v>
      </c>
      <c r="M6">
        <v>7</v>
      </c>
      <c r="N6">
        <v>19</v>
      </c>
      <c r="O6" t="s">
        <v>57</v>
      </c>
    </row>
    <row r="7" spans="1:15" ht="15" customHeight="1" x14ac:dyDescent="0.3">
      <c r="A7">
        <f t="shared" si="0"/>
        <v>1006</v>
      </c>
      <c r="B7" t="s">
        <v>72</v>
      </c>
      <c r="C7" t="s">
        <v>52</v>
      </c>
      <c r="D7" t="s">
        <v>53</v>
      </c>
      <c r="E7" t="s">
        <v>64</v>
      </c>
      <c r="F7" t="s">
        <v>382</v>
      </c>
      <c r="G7" t="s">
        <v>73</v>
      </c>
      <c r="H7">
        <v>2.5</v>
      </c>
      <c r="I7">
        <f>ROUND(AVERAGE(I8:I152), 0)</f>
        <v>71736</v>
      </c>
      <c r="J7">
        <v>5</v>
      </c>
      <c r="K7">
        <v>29</v>
      </c>
      <c r="L7">
        <v>27</v>
      </c>
      <c r="M7">
        <v>5</v>
      </c>
      <c r="N7">
        <v>13</v>
      </c>
      <c r="O7" t="s">
        <v>57</v>
      </c>
    </row>
    <row r="8" spans="1:15" ht="15" customHeight="1" x14ac:dyDescent="0.3">
      <c r="A8">
        <f t="shared" si="0"/>
        <v>1007</v>
      </c>
      <c r="B8" t="s">
        <v>74</v>
      </c>
      <c r="C8" t="s">
        <v>75</v>
      </c>
      <c r="D8" t="s">
        <v>76</v>
      </c>
      <c r="E8" t="s">
        <v>77</v>
      </c>
      <c r="F8" t="s">
        <v>55</v>
      </c>
      <c r="G8" t="s">
        <v>384</v>
      </c>
      <c r="H8">
        <v>5.7</v>
      </c>
      <c r="I8">
        <v>98748</v>
      </c>
      <c r="J8">
        <v>4.3</v>
      </c>
      <c r="K8">
        <v>9</v>
      </c>
      <c r="L8">
        <v>19</v>
      </c>
      <c r="M8">
        <v>10</v>
      </c>
      <c r="N8">
        <v>6</v>
      </c>
      <c r="O8" t="s">
        <v>57</v>
      </c>
    </row>
    <row r="9" spans="1:15" ht="15" customHeight="1" x14ac:dyDescent="0.3">
      <c r="A9">
        <f t="shared" si="0"/>
        <v>1008</v>
      </c>
      <c r="B9" t="s">
        <v>78</v>
      </c>
      <c r="C9" t="s">
        <v>79</v>
      </c>
      <c r="D9" t="s">
        <v>80</v>
      </c>
      <c r="E9" t="s">
        <v>64</v>
      </c>
      <c r="F9" t="s">
        <v>60</v>
      </c>
      <c r="G9" t="s">
        <v>81</v>
      </c>
      <c r="H9">
        <f>ROUND(AVERAGE(H10:H152), 0)</f>
        <v>4</v>
      </c>
      <c r="I9">
        <v>88250</v>
      </c>
      <c r="J9">
        <v>3</v>
      </c>
      <c r="K9">
        <v>41</v>
      </c>
      <c r="L9">
        <v>26</v>
      </c>
      <c r="M9">
        <v>5</v>
      </c>
      <c r="N9">
        <v>8</v>
      </c>
      <c r="O9" t="s">
        <v>57</v>
      </c>
    </row>
    <row r="10" spans="1:15" ht="15" customHeight="1" x14ac:dyDescent="0.3">
      <c r="A10">
        <f t="shared" si="0"/>
        <v>1009</v>
      </c>
      <c r="B10" t="s">
        <v>82</v>
      </c>
      <c r="C10" t="s">
        <v>75</v>
      </c>
      <c r="D10" t="s">
        <v>83</v>
      </c>
      <c r="E10" t="s">
        <v>84</v>
      </c>
      <c r="F10" t="s">
        <v>55</v>
      </c>
      <c r="G10" t="s">
        <v>85</v>
      </c>
      <c r="H10">
        <v>5.6</v>
      </c>
      <c r="I10">
        <f>ROUND(AVERAGE(I11:I152), 0)</f>
        <v>71431</v>
      </c>
      <c r="J10">
        <v>4.7</v>
      </c>
      <c r="K10">
        <v>40</v>
      </c>
      <c r="L10">
        <v>6</v>
      </c>
      <c r="M10">
        <v>10</v>
      </c>
      <c r="N10">
        <v>16</v>
      </c>
      <c r="O10" t="s">
        <v>57</v>
      </c>
    </row>
    <row r="11" spans="1:15" ht="15" customHeight="1" x14ac:dyDescent="0.3">
      <c r="A11">
        <f t="shared" si="0"/>
        <v>1010</v>
      </c>
      <c r="B11" t="s">
        <v>86</v>
      </c>
      <c r="C11" t="s">
        <v>75</v>
      </c>
      <c r="D11" t="s">
        <v>87</v>
      </c>
      <c r="E11" t="s">
        <v>77</v>
      </c>
      <c r="F11" t="s">
        <v>60</v>
      </c>
      <c r="G11" t="s">
        <v>88</v>
      </c>
      <c r="H11">
        <v>5.4</v>
      </c>
      <c r="I11">
        <v>58394</v>
      </c>
      <c r="J11">
        <v>3.8</v>
      </c>
      <c r="K11">
        <v>74</v>
      </c>
      <c r="L11">
        <v>13</v>
      </c>
      <c r="M11">
        <v>9</v>
      </c>
      <c r="N11">
        <v>13</v>
      </c>
      <c r="O11" t="s">
        <v>57</v>
      </c>
    </row>
    <row r="12" spans="1:15" ht="15" customHeight="1" x14ac:dyDescent="0.3">
      <c r="A12">
        <f t="shared" si="0"/>
        <v>1011</v>
      </c>
      <c r="B12" t="s">
        <v>89</v>
      </c>
      <c r="C12" t="s">
        <v>90</v>
      </c>
      <c r="D12" t="s">
        <v>91</v>
      </c>
      <c r="E12" t="s">
        <v>84</v>
      </c>
      <c r="F12" t="s">
        <v>60</v>
      </c>
      <c r="G12" t="s">
        <v>92</v>
      </c>
      <c r="H12">
        <v>2</v>
      </c>
      <c r="I12">
        <v>43592</v>
      </c>
      <c r="J12">
        <v>2.9</v>
      </c>
      <c r="K12">
        <f>ROUND(AVERAGE(K13:K152), 0)</f>
        <v>40</v>
      </c>
      <c r="L12">
        <v>25</v>
      </c>
      <c r="M12">
        <v>10</v>
      </c>
      <c r="N12">
        <v>14</v>
      </c>
      <c r="O12" t="s">
        <v>57</v>
      </c>
    </row>
    <row r="13" spans="1:15" ht="15" customHeight="1" x14ac:dyDescent="0.3">
      <c r="A13">
        <f t="shared" si="0"/>
        <v>1012</v>
      </c>
      <c r="B13" t="s">
        <v>93</v>
      </c>
      <c r="C13" t="s">
        <v>58</v>
      </c>
      <c r="D13" t="s">
        <v>59</v>
      </c>
      <c r="E13" t="s">
        <v>54</v>
      </c>
      <c r="F13" t="s">
        <v>60</v>
      </c>
      <c r="G13" t="s">
        <v>94</v>
      </c>
      <c r="H13">
        <v>3.9</v>
      </c>
      <c r="I13">
        <v>68238</v>
      </c>
      <c r="J13">
        <v>4.9000000000000004</v>
      </c>
      <c r="K13">
        <f>ROUND(AVERAGE(K14:K152), 0)</f>
        <v>40</v>
      </c>
      <c r="L13">
        <f>ROUND(AVERAGE(L14:L152), 0)</f>
        <v>15</v>
      </c>
      <c r="M13">
        <v>10</v>
      </c>
      <c r="N13">
        <v>4</v>
      </c>
      <c r="O13" t="s">
        <v>57</v>
      </c>
    </row>
    <row r="14" spans="1:15" ht="15" customHeight="1" x14ac:dyDescent="0.3">
      <c r="A14">
        <f t="shared" si="0"/>
        <v>1013</v>
      </c>
      <c r="B14" t="s">
        <v>95</v>
      </c>
      <c r="C14" t="s">
        <v>96</v>
      </c>
      <c r="D14" t="s">
        <v>97</v>
      </c>
      <c r="E14" t="s">
        <v>64</v>
      </c>
      <c r="F14" t="s">
        <v>55</v>
      </c>
      <c r="G14" t="s">
        <v>98</v>
      </c>
      <c r="H14">
        <v>4.9000000000000004</v>
      </c>
      <c r="I14">
        <v>53655</v>
      </c>
      <c r="J14">
        <v>3.2</v>
      </c>
      <c r="K14">
        <v>20</v>
      </c>
      <c r="L14">
        <v>14</v>
      </c>
      <c r="M14">
        <f>ROUND(AVERAGE(M15:M152), 0)</f>
        <v>8</v>
      </c>
      <c r="N14">
        <v>24</v>
      </c>
      <c r="O14" t="s">
        <v>57</v>
      </c>
    </row>
    <row r="15" spans="1:15" ht="15" customHeight="1" x14ac:dyDescent="0.3">
      <c r="A15">
        <f t="shared" si="0"/>
        <v>1014</v>
      </c>
      <c r="B15" t="s">
        <v>99</v>
      </c>
      <c r="C15" t="s">
        <v>58</v>
      </c>
      <c r="D15" t="s">
        <v>70</v>
      </c>
      <c r="E15" t="s">
        <v>77</v>
      </c>
      <c r="F15" t="s">
        <v>55</v>
      </c>
      <c r="G15" t="s">
        <v>100</v>
      </c>
      <c r="H15">
        <v>1.9</v>
      </c>
      <c r="I15">
        <v>59779</v>
      </c>
      <c r="J15">
        <v>4.5999999999999996</v>
      </c>
      <c r="K15">
        <v>64</v>
      </c>
      <c r="L15">
        <v>19</v>
      </c>
      <c r="M15">
        <v>6</v>
      </c>
      <c r="N15">
        <f>ROUND(AVERAGE(N16:N152), 0)</f>
        <v>14</v>
      </c>
      <c r="O15" t="s">
        <v>57</v>
      </c>
    </row>
    <row r="16" spans="1:15" ht="15" customHeight="1" x14ac:dyDescent="0.3">
      <c r="A16">
        <f t="shared" si="0"/>
        <v>1015</v>
      </c>
      <c r="B16" t="s">
        <v>101</v>
      </c>
      <c r="C16" t="s">
        <v>58</v>
      </c>
      <c r="D16" t="s">
        <v>59</v>
      </c>
      <c r="E16" t="s">
        <v>54</v>
      </c>
      <c r="F16" t="s">
        <v>55</v>
      </c>
      <c r="G16" t="s">
        <v>102</v>
      </c>
      <c r="H16">
        <v>4.0999999999999996</v>
      </c>
      <c r="I16">
        <v>60638</v>
      </c>
      <c r="J16">
        <v>2.8</v>
      </c>
      <c r="K16">
        <v>46</v>
      </c>
      <c r="L16">
        <v>28</v>
      </c>
      <c r="M16">
        <v>7</v>
      </c>
      <c r="N16">
        <v>8</v>
      </c>
      <c r="O16" t="s">
        <v>385</v>
      </c>
    </row>
    <row r="17" spans="1:15" ht="15" customHeight="1" x14ac:dyDescent="0.3">
      <c r="A17">
        <f t="shared" si="0"/>
        <v>1016</v>
      </c>
      <c r="B17" t="s">
        <v>103</v>
      </c>
      <c r="C17" t="s">
        <v>90</v>
      </c>
      <c r="D17" t="s">
        <v>104</v>
      </c>
      <c r="E17" t="s">
        <v>54</v>
      </c>
      <c r="F17" t="s">
        <v>55</v>
      </c>
      <c r="G17" t="s">
        <v>105</v>
      </c>
      <c r="H17">
        <v>4.0999999999999996</v>
      </c>
      <c r="I17">
        <v>117267</v>
      </c>
      <c r="J17">
        <f>ROUND(AVERAGE(J18:J152), 0)</f>
        <v>4</v>
      </c>
      <c r="K17">
        <v>68</v>
      </c>
      <c r="L17">
        <v>24</v>
      </c>
      <c r="M17">
        <v>6</v>
      </c>
      <c r="N17">
        <v>5</v>
      </c>
      <c r="O17" t="s">
        <v>57</v>
      </c>
    </row>
    <row r="18" spans="1:15" ht="15" customHeight="1" x14ac:dyDescent="0.3">
      <c r="A18">
        <f t="shared" si="0"/>
        <v>1017</v>
      </c>
      <c r="B18" t="s">
        <v>106</v>
      </c>
      <c r="C18" t="s">
        <v>75</v>
      </c>
      <c r="D18" t="s">
        <v>107</v>
      </c>
      <c r="E18" t="s">
        <v>64</v>
      </c>
      <c r="F18" t="s">
        <v>60</v>
      </c>
      <c r="G18" t="s">
        <v>108</v>
      </c>
      <c r="H18">
        <v>5.6</v>
      </c>
      <c r="I18">
        <v>77671</v>
      </c>
      <c r="J18">
        <v>4.4000000000000004</v>
      </c>
      <c r="K18">
        <v>25</v>
      </c>
      <c r="L18">
        <v>22</v>
      </c>
      <c r="M18">
        <v>7</v>
      </c>
      <c r="N18">
        <v>13</v>
      </c>
      <c r="O18" t="s">
        <v>57</v>
      </c>
    </row>
    <row r="19" spans="1:15" ht="15" customHeight="1" x14ac:dyDescent="0.3">
      <c r="A19">
        <f t="shared" si="0"/>
        <v>1018</v>
      </c>
      <c r="B19" t="s">
        <v>109</v>
      </c>
      <c r="C19" t="s">
        <v>58</v>
      </c>
      <c r="D19" t="s">
        <v>59</v>
      </c>
      <c r="E19" t="s">
        <v>77</v>
      </c>
      <c r="F19" t="s">
        <v>55</v>
      </c>
      <c r="G19" t="s">
        <v>110</v>
      </c>
      <c r="H19">
        <v>6.1</v>
      </c>
      <c r="I19">
        <v>68123</v>
      </c>
      <c r="J19">
        <v>3.1</v>
      </c>
      <c r="K19">
        <v>43</v>
      </c>
      <c r="L19">
        <v>0</v>
      </c>
      <c r="M19">
        <v>9</v>
      </c>
      <c r="N19">
        <v>18</v>
      </c>
      <c r="O19" t="s">
        <v>57</v>
      </c>
    </row>
    <row r="20" spans="1:15" ht="15" customHeight="1" x14ac:dyDescent="0.3">
      <c r="A20">
        <f t="shared" si="0"/>
        <v>1019</v>
      </c>
      <c r="B20" t="s">
        <v>111</v>
      </c>
      <c r="C20" t="s">
        <v>90</v>
      </c>
      <c r="D20" t="s">
        <v>104</v>
      </c>
      <c r="E20" t="s">
        <v>64</v>
      </c>
      <c r="F20" t="s">
        <v>60</v>
      </c>
      <c r="G20" t="s">
        <v>112</v>
      </c>
      <c r="H20">
        <v>3.3</v>
      </c>
      <c r="I20">
        <v>116929</v>
      </c>
      <c r="J20">
        <v>3.1</v>
      </c>
      <c r="K20">
        <v>4</v>
      </c>
      <c r="L20">
        <v>27</v>
      </c>
      <c r="M20">
        <v>7</v>
      </c>
      <c r="N20">
        <v>3</v>
      </c>
      <c r="O20" t="s">
        <v>57</v>
      </c>
    </row>
    <row r="21" spans="1:15" ht="15" customHeight="1" x14ac:dyDescent="0.3">
      <c r="A21">
        <f t="shared" si="0"/>
        <v>1020</v>
      </c>
      <c r="B21" t="s">
        <v>113</v>
      </c>
      <c r="C21" t="s">
        <v>67</v>
      </c>
      <c r="D21" t="s">
        <v>114</v>
      </c>
      <c r="E21" t="s">
        <v>68</v>
      </c>
      <c r="F21" t="s">
        <v>60</v>
      </c>
      <c r="G21" t="s">
        <v>115</v>
      </c>
      <c r="H21">
        <v>6.1</v>
      </c>
      <c r="I21">
        <v>143711</v>
      </c>
      <c r="J21">
        <v>3.9</v>
      </c>
      <c r="K21">
        <v>31</v>
      </c>
      <c r="L21">
        <v>25</v>
      </c>
      <c r="M21">
        <v>8</v>
      </c>
      <c r="N21">
        <v>14</v>
      </c>
      <c r="O21" t="s">
        <v>57</v>
      </c>
    </row>
    <row r="22" spans="1:15" ht="15" customHeight="1" x14ac:dyDescent="0.3">
      <c r="A22">
        <f t="shared" si="0"/>
        <v>1021</v>
      </c>
      <c r="B22" t="s">
        <v>116</v>
      </c>
      <c r="C22" t="s">
        <v>75</v>
      </c>
      <c r="D22" t="s">
        <v>107</v>
      </c>
      <c r="E22" t="s">
        <v>84</v>
      </c>
      <c r="F22" t="s">
        <v>60</v>
      </c>
      <c r="G22" t="s">
        <v>117</v>
      </c>
      <c r="H22">
        <v>4.5</v>
      </c>
      <c r="I22">
        <v>75303</v>
      </c>
      <c r="J22">
        <f>ROUND(AVERAGE(J23:J152), 0)</f>
        <v>4</v>
      </c>
      <c r="K22">
        <v>6</v>
      </c>
      <c r="L22">
        <v>21</v>
      </c>
      <c r="M22">
        <v>10</v>
      </c>
      <c r="N22">
        <v>21</v>
      </c>
      <c r="O22" t="s">
        <v>118</v>
      </c>
    </row>
    <row r="23" spans="1:15" ht="15" customHeight="1" x14ac:dyDescent="0.3">
      <c r="A23">
        <f t="shared" si="0"/>
        <v>1022</v>
      </c>
      <c r="B23" t="s">
        <v>119</v>
      </c>
      <c r="C23" t="s">
        <v>96</v>
      </c>
      <c r="D23" t="s">
        <v>120</v>
      </c>
      <c r="E23" t="s">
        <v>77</v>
      </c>
      <c r="F23" t="s">
        <v>55</v>
      </c>
      <c r="G23" t="s">
        <v>121</v>
      </c>
      <c r="H23">
        <v>5.4</v>
      </c>
      <c r="I23">
        <v>39278</v>
      </c>
      <c r="J23">
        <v>3</v>
      </c>
      <c r="K23">
        <v>57</v>
      </c>
      <c r="L23">
        <v>4</v>
      </c>
      <c r="M23">
        <v>8</v>
      </c>
      <c r="N23">
        <v>6</v>
      </c>
      <c r="O23" t="s">
        <v>57</v>
      </c>
    </row>
    <row r="24" spans="1:15" ht="15" customHeight="1" x14ac:dyDescent="0.3">
      <c r="A24">
        <f t="shared" si="0"/>
        <v>1023</v>
      </c>
      <c r="B24" t="s">
        <v>122</v>
      </c>
      <c r="C24" t="s">
        <v>79</v>
      </c>
      <c r="D24" t="s">
        <v>123</v>
      </c>
      <c r="E24" t="s">
        <v>77</v>
      </c>
      <c r="F24" t="s">
        <v>55</v>
      </c>
      <c r="G24" t="s">
        <v>124</v>
      </c>
      <c r="H24">
        <v>6.3</v>
      </c>
      <c r="I24">
        <v>48657</v>
      </c>
      <c r="J24">
        <v>4.0999999999999996</v>
      </c>
      <c r="K24">
        <v>69</v>
      </c>
      <c r="L24">
        <v>26</v>
      </c>
      <c r="M24">
        <v>5</v>
      </c>
      <c r="N24">
        <v>3</v>
      </c>
      <c r="O24" t="s">
        <v>57</v>
      </c>
    </row>
    <row r="25" spans="1:15" ht="15" customHeight="1" x14ac:dyDescent="0.3">
      <c r="A25">
        <f t="shared" si="0"/>
        <v>1024</v>
      </c>
      <c r="B25" t="s">
        <v>125</v>
      </c>
      <c r="C25" t="s">
        <v>79</v>
      </c>
      <c r="D25" t="s">
        <v>80</v>
      </c>
      <c r="E25" t="s">
        <v>382</v>
      </c>
      <c r="F25" t="s">
        <v>60</v>
      </c>
      <c r="G25" t="s">
        <v>126</v>
      </c>
      <c r="H25">
        <v>4.0999999999999996</v>
      </c>
      <c r="I25">
        <v>77004</v>
      </c>
      <c r="J25">
        <v>4.7</v>
      </c>
      <c r="K25">
        <v>7</v>
      </c>
      <c r="L25">
        <v>5</v>
      </c>
      <c r="M25">
        <v>8</v>
      </c>
      <c r="N25">
        <v>1</v>
      </c>
      <c r="O25" t="s">
        <v>57</v>
      </c>
    </row>
    <row r="26" spans="1:15" ht="15" customHeight="1" x14ac:dyDescent="0.3">
      <c r="A26">
        <f t="shared" si="0"/>
        <v>1025</v>
      </c>
      <c r="B26" t="s">
        <v>127</v>
      </c>
      <c r="C26" t="s">
        <v>75</v>
      </c>
      <c r="D26" t="s">
        <v>107</v>
      </c>
      <c r="E26" t="s">
        <v>68</v>
      </c>
      <c r="F26" t="s">
        <v>55</v>
      </c>
      <c r="G26" t="s">
        <v>128</v>
      </c>
      <c r="H26">
        <v>2.9</v>
      </c>
      <c r="I26">
        <v>78211</v>
      </c>
      <c r="J26">
        <v>4.2</v>
      </c>
      <c r="K26">
        <v>62</v>
      </c>
      <c r="L26">
        <v>4</v>
      </c>
      <c r="M26">
        <v>6</v>
      </c>
      <c r="N26">
        <v>10</v>
      </c>
      <c r="O26" t="s">
        <v>57</v>
      </c>
    </row>
    <row r="27" spans="1:15" ht="15" customHeight="1" x14ac:dyDescent="0.3">
      <c r="A27">
        <f t="shared" si="0"/>
        <v>1026</v>
      </c>
      <c r="B27" t="s">
        <v>129</v>
      </c>
      <c r="C27" t="s">
        <v>52</v>
      </c>
      <c r="D27" t="s">
        <v>130</v>
      </c>
      <c r="E27" t="s">
        <v>54</v>
      </c>
      <c r="F27" t="s">
        <v>55</v>
      </c>
      <c r="G27" t="s">
        <v>131</v>
      </c>
      <c r="H27">
        <v>6.5</v>
      </c>
      <c r="I27">
        <v>78643</v>
      </c>
      <c r="J27">
        <v>4</v>
      </c>
      <c r="K27">
        <v>64</v>
      </c>
      <c r="L27">
        <v>29</v>
      </c>
      <c r="M27">
        <v>9</v>
      </c>
      <c r="N27">
        <v>6</v>
      </c>
      <c r="O27" t="s">
        <v>118</v>
      </c>
    </row>
    <row r="28" spans="1:15" ht="15" customHeight="1" x14ac:dyDescent="0.3">
      <c r="A28">
        <f t="shared" si="0"/>
        <v>1027</v>
      </c>
      <c r="B28" t="s">
        <v>132</v>
      </c>
      <c r="C28" t="s">
        <v>96</v>
      </c>
      <c r="D28" t="s">
        <v>120</v>
      </c>
      <c r="E28" t="s">
        <v>54</v>
      </c>
      <c r="F28" t="s">
        <v>55</v>
      </c>
      <c r="G28" t="s">
        <v>133</v>
      </c>
      <c r="H28">
        <v>6.4</v>
      </c>
      <c r="I28">
        <v>52498</v>
      </c>
      <c r="J28">
        <v>2.7</v>
      </c>
      <c r="K28">
        <v>30</v>
      </c>
      <c r="L28">
        <v>12</v>
      </c>
      <c r="M28">
        <v>5</v>
      </c>
      <c r="N28">
        <v>19</v>
      </c>
      <c r="O28" t="s">
        <v>57</v>
      </c>
    </row>
    <row r="29" spans="1:15" ht="15" customHeight="1" x14ac:dyDescent="0.3">
      <c r="A29">
        <f t="shared" si="0"/>
        <v>1028</v>
      </c>
      <c r="B29" t="s">
        <v>134</v>
      </c>
      <c r="C29" t="s">
        <v>58</v>
      </c>
      <c r="D29" t="s">
        <v>70</v>
      </c>
      <c r="E29" t="s">
        <v>64</v>
      </c>
      <c r="F29" t="s">
        <v>55</v>
      </c>
      <c r="G29" t="s">
        <v>135</v>
      </c>
      <c r="H29">
        <v>4.5</v>
      </c>
      <c r="I29">
        <v>69125</v>
      </c>
      <c r="J29">
        <v>3.9</v>
      </c>
      <c r="K29">
        <v>40</v>
      </c>
      <c r="L29">
        <v>29</v>
      </c>
      <c r="M29">
        <v>7</v>
      </c>
      <c r="N29">
        <v>7</v>
      </c>
      <c r="O29" t="s">
        <v>57</v>
      </c>
    </row>
    <row r="30" spans="1:15" ht="15" customHeight="1" x14ac:dyDescent="0.3">
      <c r="A30">
        <f t="shared" si="0"/>
        <v>1029</v>
      </c>
      <c r="B30" t="s">
        <v>136</v>
      </c>
      <c r="C30" t="s">
        <v>75</v>
      </c>
      <c r="D30" t="s">
        <v>107</v>
      </c>
      <c r="E30" t="s">
        <v>68</v>
      </c>
      <c r="F30" t="s">
        <v>55</v>
      </c>
      <c r="G30" t="s">
        <v>137</v>
      </c>
      <c r="H30">
        <v>6.1</v>
      </c>
      <c r="I30">
        <v>69830</v>
      </c>
      <c r="J30">
        <v>3.6</v>
      </c>
      <c r="K30">
        <v>9</v>
      </c>
      <c r="L30">
        <v>0</v>
      </c>
      <c r="M30">
        <v>8</v>
      </c>
      <c r="N30">
        <v>20</v>
      </c>
      <c r="O30" t="s">
        <v>57</v>
      </c>
    </row>
    <row r="31" spans="1:15" ht="15" customHeight="1" x14ac:dyDescent="0.3">
      <c r="A31">
        <f t="shared" si="0"/>
        <v>1030</v>
      </c>
      <c r="B31" t="s">
        <v>138</v>
      </c>
      <c r="C31" t="s">
        <v>58</v>
      </c>
      <c r="D31" t="s">
        <v>70</v>
      </c>
      <c r="E31" t="s">
        <v>77</v>
      </c>
      <c r="F31" t="s">
        <v>60</v>
      </c>
      <c r="G31" t="s">
        <v>139</v>
      </c>
      <c r="H31">
        <v>4</v>
      </c>
      <c r="I31">
        <v>58690</v>
      </c>
      <c r="J31">
        <v>2.8</v>
      </c>
      <c r="K31">
        <v>44</v>
      </c>
      <c r="L31">
        <v>28</v>
      </c>
      <c r="M31">
        <v>5</v>
      </c>
      <c r="N31">
        <v>8</v>
      </c>
      <c r="O31" t="s">
        <v>57</v>
      </c>
    </row>
    <row r="32" spans="1:15" ht="15" customHeight="1" x14ac:dyDescent="0.3">
      <c r="A32">
        <f t="shared" si="0"/>
        <v>1031</v>
      </c>
      <c r="B32" t="s">
        <v>140</v>
      </c>
      <c r="C32" t="s">
        <v>96</v>
      </c>
      <c r="D32" t="s">
        <v>97</v>
      </c>
      <c r="E32" t="s">
        <v>68</v>
      </c>
      <c r="F32" t="s">
        <v>55</v>
      </c>
      <c r="G32" t="s">
        <v>141</v>
      </c>
      <c r="H32">
        <v>2.9</v>
      </c>
      <c r="I32">
        <v>59912</v>
      </c>
      <c r="J32">
        <v>4</v>
      </c>
      <c r="K32">
        <v>67</v>
      </c>
      <c r="L32">
        <v>0</v>
      </c>
      <c r="M32">
        <v>10</v>
      </c>
      <c r="N32">
        <v>18</v>
      </c>
      <c r="O32" t="s">
        <v>57</v>
      </c>
    </row>
    <row r="33" spans="1:15" ht="15" customHeight="1" x14ac:dyDescent="0.3">
      <c r="A33">
        <f t="shared" si="0"/>
        <v>1032</v>
      </c>
      <c r="B33" t="s">
        <v>142</v>
      </c>
      <c r="C33" t="s">
        <v>75</v>
      </c>
      <c r="D33" t="s">
        <v>83</v>
      </c>
      <c r="E33" t="s">
        <v>64</v>
      </c>
      <c r="F33" t="s">
        <v>55</v>
      </c>
      <c r="G33" t="s">
        <v>143</v>
      </c>
      <c r="H33">
        <v>1.8</v>
      </c>
      <c r="I33">
        <v>68507</v>
      </c>
      <c r="J33">
        <v>4.4000000000000004</v>
      </c>
      <c r="K33">
        <v>19</v>
      </c>
      <c r="L33">
        <v>8</v>
      </c>
      <c r="M33">
        <v>7</v>
      </c>
      <c r="N33">
        <v>20</v>
      </c>
      <c r="O33" t="s">
        <v>57</v>
      </c>
    </row>
    <row r="34" spans="1:15" ht="15" customHeight="1" x14ac:dyDescent="0.3">
      <c r="A34">
        <f t="shared" si="0"/>
        <v>1033</v>
      </c>
      <c r="B34" t="s">
        <v>144</v>
      </c>
      <c r="C34" t="s">
        <v>52</v>
      </c>
      <c r="D34" t="s">
        <v>145</v>
      </c>
      <c r="E34" t="s">
        <v>64</v>
      </c>
      <c r="F34" t="s">
        <v>55</v>
      </c>
      <c r="G34" t="s">
        <v>146</v>
      </c>
      <c r="H34">
        <v>2</v>
      </c>
      <c r="I34">
        <v>53650</v>
      </c>
      <c r="J34">
        <v>3.8</v>
      </c>
      <c r="K34">
        <v>0</v>
      </c>
      <c r="L34">
        <v>28</v>
      </c>
      <c r="M34">
        <v>5</v>
      </c>
      <c r="N34">
        <v>3</v>
      </c>
      <c r="O34" t="s">
        <v>57</v>
      </c>
    </row>
    <row r="35" spans="1:15" ht="15" customHeight="1" x14ac:dyDescent="0.3">
      <c r="A35">
        <f t="shared" si="0"/>
        <v>1034</v>
      </c>
      <c r="B35" t="s">
        <v>147</v>
      </c>
      <c r="C35" t="s">
        <v>90</v>
      </c>
      <c r="D35" t="s">
        <v>148</v>
      </c>
      <c r="E35" t="s">
        <v>84</v>
      </c>
      <c r="F35" t="s">
        <v>55</v>
      </c>
      <c r="G35" t="s">
        <v>149</v>
      </c>
      <c r="H35">
        <v>2.5</v>
      </c>
      <c r="I35">
        <v>74286</v>
      </c>
      <c r="J35">
        <v>4.0999999999999996</v>
      </c>
      <c r="K35">
        <v>33</v>
      </c>
      <c r="L35">
        <v>5</v>
      </c>
      <c r="M35">
        <v>10</v>
      </c>
      <c r="N35">
        <v>15</v>
      </c>
      <c r="O35" t="s">
        <v>57</v>
      </c>
    </row>
    <row r="36" spans="1:15" ht="15" customHeight="1" x14ac:dyDescent="0.3">
      <c r="A36">
        <f t="shared" si="0"/>
        <v>1035</v>
      </c>
      <c r="B36" t="s">
        <v>150</v>
      </c>
      <c r="C36" t="s">
        <v>90</v>
      </c>
      <c r="D36" t="s">
        <v>91</v>
      </c>
      <c r="E36" t="s">
        <v>68</v>
      </c>
      <c r="F36" t="s">
        <v>60</v>
      </c>
      <c r="G36" t="s">
        <v>151</v>
      </c>
      <c r="H36">
        <v>1.9</v>
      </c>
      <c r="I36">
        <v>44884</v>
      </c>
      <c r="J36">
        <v>3.9</v>
      </c>
      <c r="K36">
        <v>47</v>
      </c>
      <c r="L36">
        <v>18</v>
      </c>
      <c r="M36">
        <v>9</v>
      </c>
      <c r="N36">
        <v>5</v>
      </c>
      <c r="O36" t="s">
        <v>57</v>
      </c>
    </row>
    <row r="37" spans="1:15" ht="15" customHeight="1" x14ac:dyDescent="0.3">
      <c r="A37">
        <f t="shared" si="0"/>
        <v>1036</v>
      </c>
      <c r="B37" t="s">
        <v>152</v>
      </c>
      <c r="C37" t="s">
        <v>75</v>
      </c>
      <c r="D37" t="s">
        <v>83</v>
      </c>
      <c r="E37" t="s">
        <v>77</v>
      </c>
      <c r="F37" t="s">
        <v>55</v>
      </c>
      <c r="G37" t="s">
        <v>153</v>
      </c>
      <c r="H37">
        <f>ROUND(AVERAGE(H38:H152), 0)</f>
        <v>4</v>
      </c>
      <c r="I37">
        <v>71883</v>
      </c>
      <c r="J37">
        <v>4.2</v>
      </c>
      <c r="K37">
        <v>13</v>
      </c>
      <c r="L37">
        <v>11</v>
      </c>
      <c r="M37">
        <v>9</v>
      </c>
      <c r="N37">
        <v>14</v>
      </c>
      <c r="O37" t="s">
        <v>57</v>
      </c>
    </row>
    <row r="38" spans="1:15" ht="15" customHeight="1" x14ac:dyDescent="0.3">
      <c r="A38">
        <f t="shared" si="0"/>
        <v>1037</v>
      </c>
      <c r="B38" t="s">
        <v>154</v>
      </c>
      <c r="C38" t="s">
        <v>96</v>
      </c>
      <c r="D38" t="s">
        <v>120</v>
      </c>
      <c r="E38" t="s">
        <v>84</v>
      </c>
      <c r="F38" t="s">
        <v>55</v>
      </c>
      <c r="G38" t="s">
        <v>155</v>
      </c>
      <c r="H38">
        <v>2.2999999999999998</v>
      </c>
      <c r="I38">
        <v>38801</v>
      </c>
      <c r="J38">
        <v>4.7</v>
      </c>
      <c r="K38">
        <v>3</v>
      </c>
      <c r="L38">
        <v>5</v>
      </c>
      <c r="M38">
        <v>10</v>
      </c>
      <c r="N38">
        <v>11</v>
      </c>
      <c r="O38" t="s">
        <v>57</v>
      </c>
    </row>
    <row r="39" spans="1:15" ht="15" customHeight="1" x14ac:dyDescent="0.3">
      <c r="A39">
        <f t="shared" si="0"/>
        <v>1038</v>
      </c>
      <c r="B39" t="s">
        <v>156</v>
      </c>
      <c r="C39" t="s">
        <v>382</v>
      </c>
      <c r="D39" t="s">
        <v>87</v>
      </c>
      <c r="E39" t="s">
        <v>84</v>
      </c>
      <c r="F39" t="s">
        <v>60</v>
      </c>
      <c r="G39" t="s">
        <v>157</v>
      </c>
      <c r="H39">
        <v>2.4</v>
      </c>
      <c r="I39">
        <v>43542</v>
      </c>
      <c r="J39">
        <v>3.5</v>
      </c>
      <c r="K39">
        <v>4</v>
      </c>
      <c r="L39">
        <v>27</v>
      </c>
      <c r="M39">
        <v>8</v>
      </c>
      <c r="N39">
        <v>8</v>
      </c>
      <c r="O39" t="s">
        <v>57</v>
      </c>
    </row>
    <row r="40" spans="1:15" ht="15" customHeight="1" x14ac:dyDescent="0.3">
      <c r="A40">
        <f t="shared" si="0"/>
        <v>1039</v>
      </c>
      <c r="B40" t="s">
        <v>158</v>
      </c>
      <c r="C40" t="s">
        <v>75</v>
      </c>
      <c r="D40" t="s">
        <v>87</v>
      </c>
      <c r="E40" t="s">
        <v>64</v>
      </c>
      <c r="F40" t="s">
        <v>60</v>
      </c>
      <c r="G40" t="s">
        <v>159</v>
      </c>
      <c r="H40">
        <v>5.6</v>
      </c>
      <c r="I40">
        <v>40775</v>
      </c>
      <c r="J40">
        <v>4.2</v>
      </c>
      <c r="K40">
        <v>51</v>
      </c>
      <c r="L40">
        <v>10</v>
      </c>
      <c r="M40">
        <v>7</v>
      </c>
      <c r="N40">
        <v>3</v>
      </c>
      <c r="O40" t="s">
        <v>57</v>
      </c>
    </row>
    <row r="41" spans="1:15" ht="15" customHeight="1" x14ac:dyDescent="0.3">
      <c r="A41">
        <f t="shared" si="0"/>
        <v>1040</v>
      </c>
      <c r="B41" t="s">
        <v>160</v>
      </c>
      <c r="C41" t="s">
        <v>52</v>
      </c>
      <c r="D41" t="s">
        <v>145</v>
      </c>
      <c r="E41" t="s">
        <v>64</v>
      </c>
      <c r="F41" t="s">
        <v>55</v>
      </c>
      <c r="G41" t="s">
        <v>161</v>
      </c>
      <c r="H41">
        <v>4.5999999999999996</v>
      </c>
      <c r="I41">
        <v>62570</v>
      </c>
      <c r="J41">
        <v>3.3</v>
      </c>
      <c r="K41">
        <v>3</v>
      </c>
      <c r="L41">
        <v>3</v>
      </c>
      <c r="M41">
        <v>7</v>
      </c>
      <c r="N41">
        <v>6</v>
      </c>
      <c r="O41" t="s">
        <v>57</v>
      </c>
    </row>
    <row r="42" spans="1:15" ht="15" customHeight="1" x14ac:dyDescent="0.3">
      <c r="A42">
        <f t="shared" si="0"/>
        <v>1041</v>
      </c>
      <c r="B42" t="s">
        <v>162</v>
      </c>
      <c r="C42" t="s">
        <v>90</v>
      </c>
      <c r="D42" t="s">
        <v>104</v>
      </c>
      <c r="E42" t="s">
        <v>54</v>
      </c>
      <c r="F42" t="s">
        <v>55</v>
      </c>
      <c r="G42" t="s">
        <v>163</v>
      </c>
      <c r="H42">
        <v>4.4000000000000004</v>
      </c>
      <c r="I42">
        <v>126327</v>
      </c>
      <c r="J42">
        <v>4.3</v>
      </c>
      <c r="K42">
        <v>40</v>
      </c>
      <c r="L42">
        <v>13</v>
      </c>
      <c r="M42">
        <v>9</v>
      </c>
      <c r="N42">
        <v>17</v>
      </c>
      <c r="O42" t="s">
        <v>118</v>
      </c>
    </row>
    <row r="43" spans="1:15" ht="15" customHeight="1" x14ac:dyDescent="0.3">
      <c r="A43">
        <f t="shared" si="0"/>
        <v>1042</v>
      </c>
      <c r="B43" t="s">
        <v>164</v>
      </c>
      <c r="C43" t="s">
        <v>75</v>
      </c>
      <c r="D43" t="s">
        <v>83</v>
      </c>
      <c r="E43" t="s">
        <v>77</v>
      </c>
      <c r="F43" t="s">
        <v>60</v>
      </c>
      <c r="G43" t="s">
        <v>165</v>
      </c>
      <c r="H43">
        <v>2.9</v>
      </c>
      <c r="I43">
        <v>79288</v>
      </c>
      <c r="J43">
        <v>2.5</v>
      </c>
      <c r="K43">
        <v>68</v>
      </c>
      <c r="L43">
        <v>21</v>
      </c>
      <c r="M43">
        <v>10</v>
      </c>
      <c r="N43">
        <v>24</v>
      </c>
      <c r="O43" t="s">
        <v>57</v>
      </c>
    </row>
    <row r="44" spans="1:15" ht="15" customHeight="1" x14ac:dyDescent="0.3">
      <c r="A44">
        <f t="shared" si="0"/>
        <v>1043</v>
      </c>
      <c r="B44" t="s">
        <v>166</v>
      </c>
      <c r="C44" t="s">
        <v>79</v>
      </c>
      <c r="D44" t="s">
        <v>167</v>
      </c>
      <c r="E44" t="s">
        <v>84</v>
      </c>
      <c r="F44" t="s">
        <v>60</v>
      </c>
      <c r="G44" t="s">
        <v>168</v>
      </c>
      <c r="H44">
        <v>3.1</v>
      </c>
      <c r="I44">
        <v>53819</v>
      </c>
      <c r="J44">
        <v>4.0999999999999996</v>
      </c>
      <c r="K44">
        <v>15</v>
      </c>
      <c r="L44">
        <v>23</v>
      </c>
      <c r="M44">
        <v>7</v>
      </c>
      <c r="N44">
        <v>17</v>
      </c>
      <c r="O44" t="s">
        <v>57</v>
      </c>
    </row>
    <row r="45" spans="1:15" ht="15" customHeight="1" x14ac:dyDescent="0.3">
      <c r="A45">
        <f t="shared" si="0"/>
        <v>1044</v>
      </c>
      <c r="B45" t="s">
        <v>169</v>
      </c>
      <c r="C45" t="s">
        <v>79</v>
      </c>
      <c r="D45" t="s">
        <v>123</v>
      </c>
      <c r="E45" t="s">
        <v>77</v>
      </c>
      <c r="F45" t="s">
        <v>60</v>
      </c>
      <c r="G45" t="s">
        <v>170</v>
      </c>
      <c r="H45">
        <v>5.2</v>
      </c>
      <c r="I45">
        <v>65166</v>
      </c>
      <c r="J45">
        <v>2.8</v>
      </c>
      <c r="K45">
        <v>53</v>
      </c>
      <c r="L45">
        <v>21</v>
      </c>
      <c r="M45">
        <v>8</v>
      </c>
      <c r="N45">
        <v>22</v>
      </c>
      <c r="O45" t="s">
        <v>57</v>
      </c>
    </row>
    <row r="46" spans="1:15" ht="15" customHeight="1" x14ac:dyDescent="0.3">
      <c r="A46">
        <f t="shared" si="0"/>
        <v>1045</v>
      </c>
      <c r="B46" t="s">
        <v>171</v>
      </c>
      <c r="C46" t="s">
        <v>79</v>
      </c>
      <c r="D46" t="s">
        <v>123</v>
      </c>
      <c r="E46" t="s">
        <v>84</v>
      </c>
      <c r="F46" t="s">
        <v>60</v>
      </c>
      <c r="G46" t="s">
        <v>172</v>
      </c>
      <c r="H46">
        <v>2.2000000000000002</v>
      </c>
      <c r="I46">
        <v>47013</v>
      </c>
      <c r="J46">
        <v>3.3</v>
      </c>
      <c r="K46">
        <v>26</v>
      </c>
      <c r="L46">
        <v>13</v>
      </c>
      <c r="M46">
        <v>9</v>
      </c>
      <c r="N46">
        <v>20</v>
      </c>
      <c r="O46" t="s">
        <v>57</v>
      </c>
    </row>
    <row r="47" spans="1:15" ht="15" customHeight="1" x14ac:dyDescent="0.3">
      <c r="A47">
        <f t="shared" si="0"/>
        <v>1046</v>
      </c>
      <c r="B47" t="s">
        <v>173</v>
      </c>
      <c r="C47" t="s">
        <v>79</v>
      </c>
      <c r="D47" t="s">
        <v>123</v>
      </c>
      <c r="E47" t="s">
        <v>54</v>
      </c>
      <c r="F47" t="s">
        <v>60</v>
      </c>
      <c r="G47" t="s">
        <v>174</v>
      </c>
      <c r="H47">
        <v>5.6</v>
      </c>
      <c r="I47">
        <v>63750</v>
      </c>
      <c r="J47">
        <v>3.7</v>
      </c>
      <c r="K47">
        <v>21</v>
      </c>
      <c r="L47">
        <v>21</v>
      </c>
      <c r="M47">
        <v>5</v>
      </c>
      <c r="N47">
        <v>10</v>
      </c>
      <c r="O47" t="s">
        <v>57</v>
      </c>
    </row>
    <row r="48" spans="1:15" ht="15" customHeight="1" x14ac:dyDescent="0.3">
      <c r="A48">
        <f t="shared" si="0"/>
        <v>1047</v>
      </c>
      <c r="B48" t="s">
        <v>175</v>
      </c>
      <c r="C48" t="s">
        <v>90</v>
      </c>
      <c r="D48" t="s">
        <v>91</v>
      </c>
      <c r="E48" t="s">
        <v>84</v>
      </c>
      <c r="F48" t="s">
        <v>55</v>
      </c>
      <c r="G48" t="s">
        <v>176</v>
      </c>
      <c r="H48">
        <v>3.1</v>
      </c>
      <c r="I48">
        <v>50171</v>
      </c>
      <c r="J48">
        <v>3.1</v>
      </c>
      <c r="K48">
        <v>25</v>
      </c>
      <c r="L48">
        <v>4</v>
      </c>
      <c r="M48">
        <v>5</v>
      </c>
      <c r="N48">
        <v>2</v>
      </c>
      <c r="O48" t="s">
        <v>57</v>
      </c>
    </row>
    <row r="49" spans="1:15" ht="15" customHeight="1" x14ac:dyDescent="0.3">
      <c r="A49">
        <f t="shared" si="0"/>
        <v>1048</v>
      </c>
      <c r="B49" t="s">
        <v>177</v>
      </c>
      <c r="C49" t="s">
        <v>79</v>
      </c>
      <c r="D49" t="s">
        <v>80</v>
      </c>
      <c r="E49" t="s">
        <v>68</v>
      </c>
      <c r="F49" t="s">
        <v>55</v>
      </c>
      <c r="G49" t="s">
        <v>178</v>
      </c>
      <c r="H49">
        <v>1.9</v>
      </c>
      <c r="I49">
        <v>88863</v>
      </c>
      <c r="J49">
        <v>3</v>
      </c>
      <c r="K49">
        <v>49</v>
      </c>
      <c r="L49">
        <v>15</v>
      </c>
      <c r="M49">
        <v>8</v>
      </c>
      <c r="N49">
        <v>8</v>
      </c>
      <c r="O49" t="s">
        <v>118</v>
      </c>
    </row>
    <row r="50" spans="1:15" ht="15" customHeight="1" x14ac:dyDescent="0.3">
      <c r="A50">
        <f t="shared" si="0"/>
        <v>1049</v>
      </c>
      <c r="B50" t="s">
        <v>179</v>
      </c>
      <c r="C50" t="s">
        <v>96</v>
      </c>
      <c r="D50" t="s">
        <v>180</v>
      </c>
      <c r="E50" t="s">
        <v>68</v>
      </c>
      <c r="F50" t="s">
        <v>60</v>
      </c>
      <c r="G50" t="s">
        <v>181</v>
      </c>
      <c r="H50">
        <v>5.6</v>
      </c>
      <c r="I50">
        <v>68763</v>
      </c>
      <c r="J50">
        <v>4.5</v>
      </c>
      <c r="K50">
        <v>66</v>
      </c>
      <c r="L50">
        <v>14</v>
      </c>
      <c r="M50">
        <v>5</v>
      </c>
      <c r="N50">
        <v>18</v>
      </c>
      <c r="O50" t="s">
        <v>57</v>
      </c>
    </row>
    <row r="51" spans="1:15" ht="15" customHeight="1" x14ac:dyDescent="0.3">
      <c r="A51">
        <f t="shared" si="0"/>
        <v>1050</v>
      </c>
      <c r="B51" t="s">
        <v>182</v>
      </c>
      <c r="C51" t="s">
        <v>67</v>
      </c>
      <c r="D51" t="s">
        <v>63</v>
      </c>
      <c r="E51" t="s">
        <v>54</v>
      </c>
      <c r="F51" t="s">
        <v>60</v>
      </c>
      <c r="G51" t="s">
        <v>183</v>
      </c>
      <c r="H51">
        <v>3.1</v>
      </c>
      <c r="I51">
        <v>92404</v>
      </c>
      <c r="J51">
        <v>5</v>
      </c>
      <c r="K51">
        <v>76</v>
      </c>
      <c r="L51">
        <v>10</v>
      </c>
      <c r="M51">
        <v>8</v>
      </c>
      <c r="N51">
        <v>20</v>
      </c>
      <c r="O51" t="s">
        <v>57</v>
      </c>
    </row>
    <row r="52" spans="1:15" ht="15" customHeight="1" x14ac:dyDescent="0.3">
      <c r="A52">
        <f t="shared" si="0"/>
        <v>1051</v>
      </c>
      <c r="B52" t="s">
        <v>184</v>
      </c>
      <c r="C52" t="s">
        <v>96</v>
      </c>
      <c r="D52" t="s">
        <v>97</v>
      </c>
      <c r="E52" t="s">
        <v>64</v>
      </c>
      <c r="F52" t="s">
        <v>60</v>
      </c>
      <c r="G52" t="s">
        <v>185</v>
      </c>
      <c r="H52">
        <v>4.3</v>
      </c>
      <c r="I52">
        <v>55215</v>
      </c>
      <c r="J52">
        <v>4.4000000000000004</v>
      </c>
      <c r="K52">
        <v>60</v>
      </c>
      <c r="L52">
        <v>14</v>
      </c>
      <c r="M52">
        <v>0</v>
      </c>
      <c r="N52">
        <v>25</v>
      </c>
      <c r="O52" t="s">
        <v>57</v>
      </c>
    </row>
    <row r="53" spans="1:15" ht="15" customHeight="1" x14ac:dyDescent="0.3">
      <c r="A53">
        <f t="shared" si="0"/>
        <v>1052</v>
      </c>
      <c r="B53" t="s">
        <v>186</v>
      </c>
      <c r="C53" t="s">
        <v>52</v>
      </c>
      <c r="D53" t="s">
        <v>53</v>
      </c>
      <c r="E53" t="s">
        <v>54</v>
      </c>
      <c r="F53" t="s">
        <v>55</v>
      </c>
      <c r="G53" t="s">
        <v>187</v>
      </c>
      <c r="H53">
        <v>5.3</v>
      </c>
      <c r="I53">
        <v>57413</v>
      </c>
      <c r="J53">
        <v>2.7</v>
      </c>
      <c r="K53">
        <v>36</v>
      </c>
      <c r="L53">
        <v>7</v>
      </c>
      <c r="M53">
        <v>7</v>
      </c>
      <c r="N53">
        <v>11</v>
      </c>
      <c r="O53" t="s">
        <v>57</v>
      </c>
    </row>
    <row r="54" spans="1:15" ht="15" customHeight="1" x14ac:dyDescent="0.3">
      <c r="A54">
        <f t="shared" si="0"/>
        <v>1053</v>
      </c>
      <c r="B54" t="s">
        <v>188</v>
      </c>
      <c r="C54" t="s">
        <v>67</v>
      </c>
      <c r="D54" t="s">
        <v>189</v>
      </c>
      <c r="E54" t="s">
        <v>84</v>
      </c>
      <c r="F54" t="s">
        <v>60</v>
      </c>
      <c r="G54" t="s">
        <v>190</v>
      </c>
      <c r="H54">
        <v>5.5</v>
      </c>
      <c r="I54">
        <v>57551</v>
      </c>
      <c r="J54">
        <v>4.2</v>
      </c>
      <c r="K54">
        <v>27</v>
      </c>
      <c r="L54">
        <v>2</v>
      </c>
      <c r="M54">
        <v>8</v>
      </c>
      <c r="N54">
        <v>14</v>
      </c>
      <c r="O54" t="s">
        <v>57</v>
      </c>
    </row>
    <row r="55" spans="1:15" ht="15" customHeight="1" x14ac:dyDescent="0.3">
      <c r="A55">
        <f t="shared" si="0"/>
        <v>1054</v>
      </c>
      <c r="B55" t="s">
        <v>191</v>
      </c>
      <c r="C55" t="s">
        <v>90</v>
      </c>
      <c r="D55" t="s">
        <v>91</v>
      </c>
      <c r="E55" t="s">
        <v>54</v>
      </c>
      <c r="F55" t="s">
        <v>60</v>
      </c>
      <c r="G55" t="s">
        <v>192</v>
      </c>
      <c r="H55">
        <v>2.2000000000000002</v>
      </c>
      <c r="I55">
        <v>53767</v>
      </c>
      <c r="J55">
        <v>3.5</v>
      </c>
      <c r="K55">
        <v>74</v>
      </c>
      <c r="L55">
        <v>30</v>
      </c>
      <c r="M55">
        <v>10</v>
      </c>
      <c r="N55">
        <v>1</v>
      </c>
      <c r="O55" t="s">
        <v>57</v>
      </c>
    </row>
    <row r="56" spans="1:15" ht="15" customHeight="1" x14ac:dyDescent="0.3">
      <c r="A56">
        <f t="shared" si="0"/>
        <v>1055</v>
      </c>
      <c r="B56" t="s">
        <v>193</v>
      </c>
      <c r="C56" t="s">
        <v>79</v>
      </c>
      <c r="D56" t="s">
        <v>167</v>
      </c>
      <c r="E56" t="s">
        <v>54</v>
      </c>
      <c r="F56" t="s">
        <v>55</v>
      </c>
      <c r="G56" t="s">
        <v>194</v>
      </c>
      <c r="H56">
        <v>4.9000000000000004</v>
      </c>
      <c r="I56">
        <v>52784</v>
      </c>
      <c r="J56">
        <v>4.4000000000000004</v>
      </c>
      <c r="K56">
        <v>53</v>
      </c>
      <c r="L56">
        <v>17</v>
      </c>
      <c r="M56">
        <v>10</v>
      </c>
      <c r="N56">
        <v>24</v>
      </c>
      <c r="O56" t="s">
        <v>57</v>
      </c>
    </row>
    <row r="57" spans="1:15" ht="15" customHeight="1" x14ac:dyDescent="0.3">
      <c r="A57">
        <f t="shared" si="0"/>
        <v>1056</v>
      </c>
      <c r="B57" t="s">
        <v>195</v>
      </c>
      <c r="C57" t="s">
        <v>79</v>
      </c>
      <c r="D57" t="s">
        <v>167</v>
      </c>
      <c r="E57" t="s">
        <v>77</v>
      </c>
      <c r="F57" t="s">
        <v>60</v>
      </c>
      <c r="G57" t="s">
        <v>196</v>
      </c>
      <c r="H57">
        <v>5.3</v>
      </c>
      <c r="I57">
        <v>57281</v>
      </c>
      <c r="J57">
        <v>3.7</v>
      </c>
      <c r="K57">
        <v>49</v>
      </c>
      <c r="L57">
        <v>10</v>
      </c>
      <c r="M57">
        <v>10</v>
      </c>
      <c r="N57">
        <v>22</v>
      </c>
      <c r="O57" t="s">
        <v>57</v>
      </c>
    </row>
    <row r="58" spans="1:15" ht="15" customHeight="1" x14ac:dyDescent="0.3">
      <c r="A58">
        <f t="shared" si="0"/>
        <v>1057</v>
      </c>
      <c r="B58" t="s">
        <v>197</v>
      </c>
      <c r="C58" t="s">
        <v>67</v>
      </c>
      <c r="D58" t="s">
        <v>114</v>
      </c>
      <c r="E58" t="s">
        <v>84</v>
      </c>
      <c r="F58" t="s">
        <v>55</v>
      </c>
      <c r="G58" t="s">
        <v>198</v>
      </c>
      <c r="H58">
        <v>3.8</v>
      </c>
      <c r="I58">
        <v>125883</v>
      </c>
      <c r="J58">
        <v>4.8</v>
      </c>
      <c r="K58">
        <v>75</v>
      </c>
      <c r="L58">
        <v>18</v>
      </c>
      <c r="M58">
        <v>10</v>
      </c>
      <c r="N58">
        <v>1</v>
      </c>
      <c r="O58" t="s">
        <v>118</v>
      </c>
    </row>
    <row r="59" spans="1:15" ht="15" customHeight="1" x14ac:dyDescent="0.3">
      <c r="A59">
        <f t="shared" si="0"/>
        <v>1058</v>
      </c>
      <c r="B59" t="s">
        <v>199</v>
      </c>
      <c r="C59" t="s">
        <v>96</v>
      </c>
      <c r="D59" t="s">
        <v>180</v>
      </c>
      <c r="E59" t="s">
        <v>84</v>
      </c>
      <c r="F59" t="s">
        <v>60</v>
      </c>
      <c r="G59" t="s">
        <v>200</v>
      </c>
      <c r="H59">
        <v>5.8</v>
      </c>
      <c r="I59">
        <v>64647</v>
      </c>
      <c r="J59">
        <v>3.2</v>
      </c>
      <c r="K59">
        <v>41</v>
      </c>
      <c r="L59">
        <v>6</v>
      </c>
      <c r="M59">
        <v>8</v>
      </c>
      <c r="N59">
        <v>11</v>
      </c>
      <c r="O59" t="s">
        <v>57</v>
      </c>
    </row>
    <row r="60" spans="1:15" ht="15" customHeight="1" x14ac:dyDescent="0.3">
      <c r="A60">
        <f t="shared" si="0"/>
        <v>1059</v>
      </c>
      <c r="B60" t="s">
        <v>201</v>
      </c>
      <c r="C60" t="s">
        <v>96</v>
      </c>
      <c r="D60" t="s">
        <v>180</v>
      </c>
      <c r="E60" t="s">
        <v>68</v>
      </c>
      <c r="F60" t="s">
        <v>55</v>
      </c>
      <c r="G60" t="s">
        <v>202</v>
      </c>
      <c r="H60">
        <v>5.4</v>
      </c>
      <c r="I60">
        <v>65683</v>
      </c>
      <c r="J60">
        <v>3.7</v>
      </c>
      <c r="K60">
        <v>69</v>
      </c>
      <c r="L60">
        <v>1</v>
      </c>
      <c r="M60">
        <v>7</v>
      </c>
      <c r="N60">
        <v>8</v>
      </c>
      <c r="O60" t="s">
        <v>57</v>
      </c>
    </row>
    <row r="61" spans="1:15" ht="15" customHeight="1" x14ac:dyDescent="0.3">
      <c r="A61">
        <f t="shared" si="0"/>
        <v>1060</v>
      </c>
      <c r="B61" t="s">
        <v>203</v>
      </c>
      <c r="C61" t="s">
        <v>67</v>
      </c>
      <c r="D61" t="s">
        <v>189</v>
      </c>
      <c r="E61" t="s">
        <v>77</v>
      </c>
      <c r="F61" t="s">
        <v>60</v>
      </c>
      <c r="G61" t="s">
        <v>204</v>
      </c>
      <c r="H61">
        <v>2.1</v>
      </c>
      <c r="I61">
        <v>45667</v>
      </c>
      <c r="J61">
        <v>4.0999999999999996</v>
      </c>
      <c r="K61">
        <v>30</v>
      </c>
      <c r="L61">
        <v>4</v>
      </c>
      <c r="M61">
        <v>8</v>
      </c>
      <c r="N61">
        <v>22</v>
      </c>
      <c r="O61" t="s">
        <v>118</v>
      </c>
    </row>
    <row r="62" spans="1:15" ht="15" customHeight="1" x14ac:dyDescent="0.3">
      <c r="A62">
        <f t="shared" si="0"/>
        <v>1061</v>
      </c>
      <c r="B62" t="s">
        <v>205</v>
      </c>
      <c r="C62" t="s">
        <v>52</v>
      </c>
      <c r="D62" t="s">
        <v>130</v>
      </c>
      <c r="E62" t="s">
        <v>77</v>
      </c>
      <c r="F62" t="s">
        <v>60</v>
      </c>
      <c r="G62" t="s">
        <v>206</v>
      </c>
      <c r="H62">
        <v>2.5</v>
      </c>
      <c r="I62">
        <v>89087</v>
      </c>
      <c r="J62">
        <v>2.9</v>
      </c>
      <c r="K62">
        <v>77</v>
      </c>
      <c r="L62">
        <v>30</v>
      </c>
      <c r="M62">
        <v>10</v>
      </c>
      <c r="N62">
        <v>23</v>
      </c>
      <c r="O62" t="s">
        <v>118</v>
      </c>
    </row>
    <row r="63" spans="1:15" ht="15" customHeight="1" x14ac:dyDescent="0.3">
      <c r="A63">
        <f t="shared" si="0"/>
        <v>1062</v>
      </c>
      <c r="B63" t="s">
        <v>207</v>
      </c>
      <c r="C63" t="s">
        <v>90</v>
      </c>
      <c r="D63" t="s">
        <v>104</v>
      </c>
      <c r="E63" t="s">
        <v>77</v>
      </c>
      <c r="F63" t="s">
        <v>55</v>
      </c>
      <c r="G63" t="s">
        <v>208</v>
      </c>
      <c r="H63">
        <v>6.7</v>
      </c>
      <c r="I63">
        <v>125222</v>
      </c>
      <c r="J63">
        <v>3.9</v>
      </c>
      <c r="K63">
        <v>48</v>
      </c>
      <c r="L63">
        <v>12</v>
      </c>
      <c r="M63">
        <v>10</v>
      </c>
      <c r="N63">
        <v>7</v>
      </c>
      <c r="O63" t="s">
        <v>118</v>
      </c>
    </row>
    <row r="64" spans="1:15" ht="15" customHeight="1" x14ac:dyDescent="0.3">
      <c r="A64">
        <f t="shared" si="0"/>
        <v>1063</v>
      </c>
      <c r="B64" t="s">
        <v>209</v>
      </c>
      <c r="C64" t="s">
        <v>52</v>
      </c>
      <c r="D64" t="s">
        <v>130</v>
      </c>
      <c r="E64" t="s">
        <v>64</v>
      </c>
      <c r="F64" t="s">
        <v>55</v>
      </c>
      <c r="G64" t="s">
        <v>210</v>
      </c>
      <c r="H64">
        <v>2.1</v>
      </c>
      <c r="I64">
        <v>96674</v>
      </c>
      <c r="J64">
        <v>4.5</v>
      </c>
      <c r="K64">
        <v>72</v>
      </c>
      <c r="L64">
        <v>25</v>
      </c>
      <c r="M64">
        <v>5</v>
      </c>
      <c r="N64">
        <v>12</v>
      </c>
      <c r="O64" t="s">
        <v>57</v>
      </c>
    </row>
    <row r="65" spans="1:15" ht="15" customHeight="1" x14ac:dyDescent="0.3">
      <c r="A65">
        <f t="shared" si="0"/>
        <v>1064</v>
      </c>
      <c r="B65" t="s">
        <v>211</v>
      </c>
      <c r="C65" t="s">
        <v>58</v>
      </c>
      <c r="D65" t="s">
        <v>212</v>
      </c>
      <c r="E65" t="s">
        <v>84</v>
      </c>
      <c r="F65" t="s">
        <v>55</v>
      </c>
      <c r="G65" t="s">
        <v>213</v>
      </c>
      <c r="H65">
        <v>4.9000000000000004</v>
      </c>
      <c r="I65">
        <v>85414</v>
      </c>
      <c r="J65">
        <v>4.5999999999999996</v>
      </c>
      <c r="K65">
        <v>62</v>
      </c>
      <c r="L65">
        <v>3</v>
      </c>
      <c r="M65">
        <v>8</v>
      </c>
      <c r="N65">
        <v>12</v>
      </c>
      <c r="O65" t="s">
        <v>57</v>
      </c>
    </row>
    <row r="66" spans="1:15" ht="15" customHeight="1" x14ac:dyDescent="0.3">
      <c r="A66">
        <f t="shared" si="0"/>
        <v>1065</v>
      </c>
      <c r="B66" t="s">
        <v>214</v>
      </c>
      <c r="C66" t="s">
        <v>79</v>
      </c>
      <c r="D66" t="s">
        <v>167</v>
      </c>
      <c r="E66" t="s">
        <v>84</v>
      </c>
      <c r="F66" t="s">
        <v>60</v>
      </c>
      <c r="G66" t="s">
        <v>215</v>
      </c>
      <c r="H66">
        <v>2.7</v>
      </c>
      <c r="I66">
        <v>60096</v>
      </c>
      <c r="J66">
        <v>4.9000000000000004</v>
      </c>
      <c r="K66">
        <v>34</v>
      </c>
      <c r="L66">
        <v>19</v>
      </c>
      <c r="M66">
        <v>9</v>
      </c>
      <c r="N66">
        <v>25</v>
      </c>
      <c r="O66" t="s">
        <v>57</v>
      </c>
    </row>
    <row r="67" spans="1:15" ht="15" customHeight="1" x14ac:dyDescent="0.3">
      <c r="A67">
        <f t="shared" ref="A67:A130" si="1">(A66+1)</f>
        <v>1066</v>
      </c>
      <c r="B67" t="s">
        <v>216</v>
      </c>
      <c r="C67" t="s">
        <v>75</v>
      </c>
      <c r="D67" t="s">
        <v>87</v>
      </c>
      <c r="E67" t="s">
        <v>84</v>
      </c>
      <c r="F67" t="s">
        <v>60</v>
      </c>
      <c r="G67" t="s">
        <v>217</v>
      </c>
      <c r="H67">
        <v>2.2000000000000002</v>
      </c>
      <c r="I67">
        <v>42839</v>
      </c>
      <c r="J67">
        <v>3.2</v>
      </c>
      <c r="K67">
        <v>57</v>
      </c>
      <c r="L67">
        <v>7</v>
      </c>
      <c r="M67">
        <v>8</v>
      </c>
      <c r="N67">
        <v>19</v>
      </c>
      <c r="O67" t="s">
        <v>57</v>
      </c>
    </row>
    <row r="68" spans="1:15" ht="15" customHeight="1" x14ac:dyDescent="0.3">
      <c r="A68">
        <f t="shared" si="1"/>
        <v>1067</v>
      </c>
      <c r="B68" t="s">
        <v>218</v>
      </c>
      <c r="C68" t="s">
        <v>90</v>
      </c>
      <c r="D68" t="s">
        <v>148</v>
      </c>
      <c r="E68" t="s">
        <v>54</v>
      </c>
      <c r="F68" t="s">
        <v>60</v>
      </c>
      <c r="G68" t="s">
        <v>219</v>
      </c>
      <c r="H68">
        <v>2.1</v>
      </c>
      <c r="I68">
        <v>80650</v>
      </c>
      <c r="J68">
        <v>3</v>
      </c>
      <c r="K68">
        <v>27</v>
      </c>
      <c r="L68">
        <v>0</v>
      </c>
      <c r="M68">
        <v>7</v>
      </c>
      <c r="N68">
        <v>11</v>
      </c>
      <c r="O68" t="s">
        <v>57</v>
      </c>
    </row>
    <row r="69" spans="1:15" ht="15" customHeight="1" x14ac:dyDescent="0.3">
      <c r="A69">
        <f t="shared" si="1"/>
        <v>1068</v>
      </c>
      <c r="B69" t="s">
        <v>220</v>
      </c>
      <c r="C69" t="s">
        <v>58</v>
      </c>
      <c r="D69" t="s">
        <v>70</v>
      </c>
      <c r="E69" t="s">
        <v>84</v>
      </c>
      <c r="F69" t="s">
        <v>60</v>
      </c>
      <c r="G69" t="s">
        <v>221</v>
      </c>
      <c r="H69">
        <v>3.9</v>
      </c>
      <c r="I69">
        <v>56260</v>
      </c>
      <c r="J69">
        <v>2.7</v>
      </c>
      <c r="K69">
        <v>52</v>
      </c>
      <c r="L69">
        <v>15</v>
      </c>
      <c r="M69">
        <v>9</v>
      </c>
      <c r="N69">
        <v>25</v>
      </c>
      <c r="O69" t="s">
        <v>57</v>
      </c>
    </row>
    <row r="70" spans="1:15" ht="15" customHeight="1" x14ac:dyDescent="0.3">
      <c r="A70">
        <f t="shared" si="1"/>
        <v>1069</v>
      </c>
      <c r="B70" t="s">
        <v>222</v>
      </c>
      <c r="C70" t="s">
        <v>79</v>
      </c>
      <c r="D70" t="s">
        <v>167</v>
      </c>
      <c r="E70" t="s">
        <v>54</v>
      </c>
      <c r="F70" t="s">
        <v>60</v>
      </c>
      <c r="G70" t="s">
        <v>223</v>
      </c>
      <c r="H70">
        <v>6.3</v>
      </c>
      <c r="I70">
        <v>52641</v>
      </c>
      <c r="J70">
        <v>3.1</v>
      </c>
      <c r="K70">
        <v>31</v>
      </c>
      <c r="L70">
        <v>9</v>
      </c>
      <c r="M70">
        <v>10</v>
      </c>
      <c r="N70">
        <v>19</v>
      </c>
      <c r="O70" t="s">
        <v>57</v>
      </c>
    </row>
    <row r="71" spans="1:15" ht="15" customHeight="1" x14ac:dyDescent="0.3">
      <c r="A71">
        <f t="shared" si="1"/>
        <v>1070</v>
      </c>
      <c r="B71" t="s">
        <v>224</v>
      </c>
      <c r="C71" t="s">
        <v>79</v>
      </c>
      <c r="D71" t="s">
        <v>123</v>
      </c>
      <c r="E71" t="s">
        <v>77</v>
      </c>
      <c r="F71" t="s">
        <v>60</v>
      </c>
      <c r="G71" t="s">
        <v>225</v>
      </c>
      <c r="H71">
        <v>3.7</v>
      </c>
      <c r="I71">
        <v>57839</v>
      </c>
      <c r="J71">
        <v>3.4</v>
      </c>
      <c r="K71">
        <v>58</v>
      </c>
      <c r="L71">
        <v>8</v>
      </c>
      <c r="M71">
        <v>7</v>
      </c>
      <c r="N71">
        <v>9</v>
      </c>
      <c r="O71" t="s">
        <v>57</v>
      </c>
    </row>
    <row r="72" spans="1:15" ht="15" customHeight="1" x14ac:dyDescent="0.3">
      <c r="A72">
        <f t="shared" si="1"/>
        <v>1071</v>
      </c>
      <c r="B72" t="s">
        <v>226</v>
      </c>
      <c r="C72" t="s">
        <v>90</v>
      </c>
      <c r="D72" t="s">
        <v>104</v>
      </c>
      <c r="E72" t="s">
        <v>54</v>
      </c>
      <c r="F72" t="s">
        <v>60</v>
      </c>
      <c r="G72" t="s">
        <v>227</v>
      </c>
      <c r="H72">
        <v>3.8</v>
      </c>
      <c r="I72">
        <v>121066</v>
      </c>
      <c r="J72">
        <v>3</v>
      </c>
      <c r="K72">
        <v>61</v>
      </c>
      <c r="L72">
        <v>8</v>
      </c>
      <c r="M72">
        <v>10</v>
      </c>
      <c r="N72">
        <v>19</v>
      </c>
      <c r="O72" t="s">
        <v>57</v>
      </c>
    </row>
    <row r="73" spans="1:15" ht="15" customHeight="1" x14ac:dyDescent="0.3">
      <c r="A73">
        <f t="shared" si="1"/>
        <v>1072</v>
      </c>
      <c r="B73" t="s">
        <v>228</v>
      </c>
      <c r="C73" t="s">
        <v>90</v>
      </c>
      <c r="D73" t="s">
        <v>91</v>
      </c>
      <c r="E73" t="s">
        <v>68</v>
      </c>
      <c r="F73" t="s">
        <v>55</v>
      </c>
      <c r="G73" t="s">
        <v>229</v>
      </c>
      <c r="H73">
        <v>5.2</v>
      </c>
      <c r="I73">
        <v>47454</v>
      </c>
      <c r="J73">
        <v>3.4</v>
      </c>
      <c r="K73">
        <v>38</v>
      </c>
      <c r="L73">
        <v>0</v>
      </c>
      <c r="M73">
        <v>10</v>
      </c>
      <c r="N73">
        <v>18</v>
      </c>
      <c r="O73" t="s">
        <v>118</v>
      </c>
    </row>
    <row r="74" spans="1:15" ht="15" customHeight="1" x14ac:dyDescent="0.3">
      <c r="A74">
        <f t="shared" si="1"/>
        <v>1073</v>
      </c>
      <c r="B74" t="s">
        <v>230</v>
      </c>
      <c r="C74" t="s">
        <v>58</v>
      </c>
      <c r="D74" t="s">
        <v>59</v>
      </c>
      <c r="E74" t="s">
        <v>84</v>
      </c>
      <c r="F74" t="s">
        <v>60</v>
      </c>
      <c r="G74" t="s">
        <v>231</v>
      </c>
      <c r="H74">
        <v>2.9</v>
      </c>
      <c r="I74">
        <v>64137</v>
      </c>
      <c r="J74">
        <v>4.0999999999999996</v>
      </c>
      <c r="K74">
        <v>62</v>
      </c>
      <c r="L74">
        <v>3</v>
      </c>
      <c r="M74">
        <v>5</v>
      </c>
      <c r="N74">
        <v>19</v>
      </c>
      <c r="O74" t="s">
        <v>57</v>
      </c>
    </row>
    <row r="75" spans="1:15" ht="15" customHeight="1" x14ac:dyDescent="0.3">
      <c r="A75">
        <f t="shared" si="1"/>
        <v>1074</v>
      </c>
      <c r="B75" t="s">
        <v>232</v>
      </c>
      <c r="C75" t="s">
        <v>75</v>
      </c>
      <c r="D75" t="s">
        <v>87</v>
      </c>
      <c r="E75" t="s">
        <v>54</v>
      </c>
      <c r="F75" t="s">
        <v>55</v>
      </c>
      <c r="G75" t="s">
        <v>233</v>
      </c>
      <c r="H75">
        <v>6.5</v>
      </c>
      <c r="I75">
        <v>48273</v>
      </c>
      <c r="J75">
        <v>4.9000000000000004</v>
      </c>
      <c r="K75">
        <v>61</v>
      </c>
      <c r="L75">
        <v>3</v>
      </c>
      <c r="M75">
        <v>5</v>
      </c>
      <c r="N75">
        <v>13</v>
      </c>
      <c r="O75" t="s">
        <v>57</v>
      </c>
    </row>
    <row r="76" spans="1:15" ht="15" customHeight="1" x14ac:dyDescent="0.3">
      <c r="A76">
        <f t="shared" si="1"/>
        <v>1075</v>
      </c>
      <c r="B76" t="s">
        <v>234</v>
      </c>
      <c r="C76" t="s">
        <v>67</v>
      </c>
      <c r="D76" t="s">
        <v>189</v>
      </c>
      <c r="E76" t="s">
        <v>54</v>
      </c>
      <c r="F76" t="s">
        <v>55</v>
      </c>
      <c r="G76" t="s">
        <v>235</v>
      </c>
      <c r="H76">
        <v>2.2999999999999998</v>
      </c>
      <c r="I76">
        <v>63443</v>
      </c>
      <c r="J76">
        <v>4.9000000000000004</v>
      </c>
      <c r="K76">
        <v>10</v>
      </c>
      <c r="L76">
        <v>7</v>
      </c>
      <c r="M76">
        <v>5</v>
      </c>
      <c r="N76">
        <v>18</v>
      </c>
      <c r="O76" t="s">
        <v>57</v>
      </c>
    </row>
    <row r="77" spans="1:15" ht="15" customHeight="1" x14ac:dyDescent="0.3">
      <c r="A77">
        <f t="shared" si="1"/>
        <v>1076</v>
      </c>
      <c r="B77" t="s">
        <v>236</v>
      </c>
      <c r="C77" t="s">
        <v>96</v>
      </c>
      <c r="D77" t="s">
        <v>97</v>
      </c>
      <c r="E77" t="s">
        <v>54</v>
      </c>
      <c r="F77" t="s">
        <v>55</v>
      </c>
      <c r="G77" t="s">
        <v>237</v>
      </c>
      <c r="H77">
        <v>4.7</v>
      </c>
      <c r="I77">
        <v>64762</v>
      </c>
      <c r="J77">
        <v>4.8</v>
      </c>
      <c r="K77">
        <v>38</v>
      </c>
      <c r="L77">
        <v>27</v>
      </c>
      <c r="M77">
        <v>9</v>
      </c>
      <c r="N77">
        <v>14</v>
      </c>
      <c r="O77" t="s">
        <v>57</v>
      </c>
    </row>
    <row r="78" spans="1:15" ht="15" customHeight="1" x14ac:dyDescent="0.3">
      <c r="A78">
        <f t="shared" si="1"/>
        <v>1077</v>
      </c>
      <c r="B78" t="s">
        <v>238</v>
      </c>
      <c r="C78" t="s">
        <v>58</v>
      </c>
      <c r="D78" t="s">
        <v>212</v>
      </c>
      <c r="E78" t="s">
        <v>54</v>
      </c>
      <c r="F78" t="s">
        <v>55</v>
      </c>
      <c r="G78" t="s">
        <v>239</v>
      </c>
      <c r="H78">
        <v>6.3</v>
      </c>
      <c r="I78">
        <v>91808</v>
      </c>
      <c r="J78">
        <v>4.0999999999999996</v>
      </c>
      <c r="K78">
        <v>33</v>
      </c>
      <c r="L78">
        <v>21</v>
      </c>
      <c r="M78">
        <v>5</v>
      </c>
      <c r="N78">
        <v>6</v>
      </c>
      <c r="O78" t="s">
        <v>57</v>
      </c>
    </row>
    <row r="79" spans="1:15" ht="15" customHeight="1" x14ac:dyDescent="0.3">
      <c r="A79">
        <f t="shared" si="1"/>
        <v>1078</v>
      </c>
      <c r="B79" t="s">
        <v>240</v>
      </c>
      <c r="C79" t="s">
        <v>67</v>
      </c>
      <c r="D79" t="s">
        <v>189</v>
      </c>
      <c r="E79" t="s">
        <v>64</v>
      </c>
      <c r="F79" t="s">
        <v>60</v>
      </c>
      <c r="G79" t="s">
        <v>241</v>
      </c>
      <c r="H79">
        <v>4.5</v>
      </c>
      <c r="I79">
        <v>59762</v>
      </c>
      <c r="J79">
        <v>4.2</v>
      </c>
      <c r="K79">
        <v>60</v>
      </c>
      <c r="L79">
        <v>9</v>
      </c>
      <c r="M79">
        <v>5</v>
      </c>
      <c r="N79">
        <v>8</v>
      </c>
      <c r="O79" t="s">
        <v>57</v>
      </c>
    </row>
    <row r="80" spans="1:15" ht="15" customHeight="1" x14ac:dyDescent="0.3">
      <c r="A80">
        <f t="shared" si="1"/>
        <v>1079</v>
      </c>
      <c r="B80" t="s">
        <v>242</v>
      </c>
      <c r="C80" t="s">
        <v>90</v>
      </c>
      <c r="D80" t="s">
        <v>104</v>
      </c>
      <c r="E80" t="s">
        <v>54</v>
      </c>
      <c r="F80" t="s">
        <v>55</v>
      </c>
      <c r="G80" t="s">
        <v>243</v>
      </c>
      <c r="H80">
        <v>5.5</v>
      </c>
      <c r="I80">
        <v>123668</v>
      </c>
      <c r="J80">
        <v>4.5</v>
      </c>
      <c r="K80">
        <v>80</v>
      </c>
      <c r="L80">
        <v>18</v>
      </c>
      <c r="M80">
        <v>10</v>
      </c>
      <c r="N80">
        <v>7</v>
      </c>
      <c r="O80" t="s">
        <v>57</v>
      </c>
    </row>
    <row r="81" spans="1:15" ht="15" customHeight="1" x14ac:dyDescent="0.3">
      <c r="A81">
        <f t="shared" si="1"/>
        <v>1080</v>
      </c>
      <c r="B81" t="s">
        <v>244</v>
      </c>
      <c r="C81" t="s">
        <v>52</v>
      </c>
      <c r="D81" t="s">
        <v>53</v>
      </c>
      <c r="E81" t="s">
        <v>54</v>
      </c>
      <c r="F81" t="s">
        <v>60</v>
      </c>
      <c r="G81" t="s">
        <v>245</v>
      </c>
      <c r="H81">
        <v>5.3</v>
      </c>
      <c r="I81">
        <v>47660</v>
      </c>
      <c r="J81">
        <v>2.7</v>
      </c>
      <c r="K81">
        <v>21</v>
      </c>
      <c r="L81">
        <v>25</v>
      </c>
      <c r="M81">
        <v>7</v>
      </c>
      <c r="N81">
        <v>20</v>
      </c>
      <c r="O81" t="s">
        <v>57</v>
      </c>
    </row>
    <row r="82" spans="1:15" ht="15" customHeight="1" x14ac:dyDescent="0.3">
      <c r="A82">
        <f t="shared" si="1"/>
        <v>1081</v>
      </c>
      <c r="B82" t="s">
        <v>246</v>
      </c>
      <c r="C82" t="s">
        <v>79</v>
      </c>
      <c r="D82" t="s">
        <v>167</v>
      </c>
      <c r="E82" t="s">
        <v>54</v>
      </c>
      <c r="F82" t="s">
        <v>55</v>
      </c>
      <c r="G82" t="s">
        <v>247</v>
      </c>
      <c r="H82">
        <v>4.2</v>
      </c>
      <c r="I82">
        <v>52964</v>
      </c>
      <c r="J82">
        <v>4.2</v>
      </c>
      <c r="K82">
        <v>34</v>
      </c>
      <c r="L82">
        <v>16</v>
      </c>
      <c r="M82">
        <v>9</v>
      </c>
      <c r="N82">
        <v>16</v>
      </c>
      <c r="O82" t="s">
        <v>57</v>
      </c>
    </row>
    <row r="83" spans="1:15" ht="15" customHeight="1" x14ac:dyDescent="0.3">
      <c r="A83">
        <f t="shared" si="1"/>
        <v>1082</v>
      </c>
      <c r="B83" t="s">
        <v>248</v>
      </c>
      <c r="C83" t="s">
        <v>79</v>
      </c>
      <c r="D83" t="s">
        <v>123</v>
      </c>
      <c r="E83" t="s">
        <v>68</v>
      </c>
      <c r="F83" t="s">
        <v>60</v>
      </c>
      <c r="G83" t="s">
        <v>249</v>
      </c>
      <c r="H83">
        <f>ROUND(AVERAGE(H84:H152), 0)</f>
        <v>4</v>
      </c>
      <c r="I83">
        <v>66782</v>
      </c>
      <c r="J83">
        <v>3.1</v>
      </c>
      <c r="K83">
        <v>11</v>
      </c>
      <c r="L83">
        <v>7</v>
      </c>
      <c r="M83">
        <v>10</v>
      </c>
      <c r="N83">
        <v>19</v>
      </c>
      <c r="O83" t="s">
        <v>57</v>
      </c>
    </row>
    <row r="84" spans="1:15" ht="15" customHeight="1" x14ac:dyDescent="0.3">
      <c r="A84">
        <f t="shared" si="1"/>
        <v>1083</v>
      </c>
      <c r="B84" t="s">
        <v>250</v>
      </c>
      <c r="C84" t="s">
        <v>58</v>
      </c>
      <c r="D84" t="s">
        <v>70</v>
      </c>
      <c r="E84" t="s">
        <v>84</v>
      </c>
      <c r="F84" t="s">
        <v>60</v>
      </c>
      <c r="G84" t="s">
        <v>251</v>
      </c>
      <c r="H84">
        <v>2.5</v>
      </c>
      <c r="I84">
        <v>55740</v>
      </c>
      <c r="J84">
        <v>3.7</v>
      </c>
      <c r="K84">
        <v>56</v>
      </c>
      <c r="L84">
        <v>29</v>
      </c>
      <c r="M84">
        <v>7</v>
      </c>
      <c r="N84">
        <v>6</v>
      </c>
      <c r="O84" t="s">
        <v>57</v>
      </c>
    </row>
    <row r="85" spans="1:15" ht="15" customHeight="1" x14ac:dyDescent="0.3">
      <c r="A85">
        <f t="shared" si="1"/>
        <v>1084</v>
      </c>
      <c r="B85" t="s">
        <v>252</v>
      </c>
      <c r="C85" t="s">
        <v>90</v>
      </c>
      <c r="D85" t="s">
        <v>148</v>
      </c>
      <c r="E85" t="s">
        <v>84</v>
      </c>
      <c r="F85" t="s">
        <v>60</v>
      </c>
      <c r="G85" t="s">
        <v>253</v>
      </c>
      <c r="H85">
        <v>4.9000000000000004</v>
      </c>
      <c r="I85">
        <v>83380</v>
      </c>
      <c r="J85">
        <v>3.3</v>
      </c>
      <c r="K85">
        <v>13</v>
      </c>
      <c r="L85">
        <v>27</v>
      </c>
      <c r="M85">
        <v>6</v>
      </c>
      <c r="N85">
        <v>11</v>
      </c>
      <c r="O85" t="s">
        <v>57</v>
      </c>
    </row>
    <row r="86" spans="1:15" ht="15" customHeight="1" x14ac:dyDescent="0.3">
      <c r="A86">
        <f t="shared" si="1"/>
        <v>1085</v>
      </c>
      <c r="B86" t="s">
        <v>254</v>
      </c>
      <c r="C86" t="s">
        <v>52</v>
      </c>
      <c r="D86" t="s">
        <v>130</v>
      </c>
      <c r="E86" t="s">
        <v>84</v>
      </c>
      <c r="F86" t="s">
        <v>55</v>
      </c>
      <c r="G86" t="s">
        <v>255</v>
      </c>
      <c r="H86">
        <v>2.2999999999999998</v>
      </c>
      <c r="I86">
        <v>95025</v>
      </c>
      <c r="J86">
        <v>2.6</v>
      </c>
      <c r="K86">
        <v>11</v>
      </c>
      <c r="L86">
        <v>10</v>
      </c>
      <c r="M86">
        <v>7</v>
      </c>
      <c r="N86">
        <v>11</v>
      </c>
      <c r="O86" t="s">
        <v>118</v>
      </c>
    </row>
    <row r="87" spans="1:15" ht="15" customHeight="1" x14ac:dyDescent="0.3">
      <c r="A87">
        <f t="shared" si="1"/>
        <v>1086</v>
      </c>
      <c r="B87" t="s">
        <v>256</v>
      </c>
      <c r="C87" t="s">
        <v>52</v>
      </c>
      <c r="D87" t="s">
        <v>145</v>
      </c>
      <c r="E87" t="s">
        <v>84</v>
      </c>
      <c r="F87" t="s">
        <v>55</v>
      </c>
      <c r="G87" t="s">
        <v>257</v>
      </c>
      <c r="H87">
        <v>4.2</v>
      </c>
      <c r="I87">
        <f>ROUND(AVERAGE(I88:I152), 0)</f>
        <v>73713</v>
      </c>
      <c r="J87">
        <v>2.6</v>
      </c>
      <c r="K87">
        <v>66</v>
      </c>
      <c r="L87">
        <v>11</v>
      </c>
      <c r="M87">
        <v>9</v>
      </c>
      <c r="N87">
        <v>25</v>
      </c>
      <c r="O87" t="s">
        <v>57</v>
      </c>
    </row>
    <row r="88" spans="1:15" ht="15" customHeight="1" x14ac:dyDescent="0.3">
      <c r="A88">
        <f t="shared" si="1"/>
        <v>1087</v>
      </c>
      <c r="B88" t="s">
        <v>258</v>
      </c>
      <c r="C88" t="s">
        <v>67</v>
      </c>
      <c r="D88" t="s">
        <v>63</v>
      </c>
      <c r="E88" t="s">
        <v>54</v>
      </c>
      <c r="F88" t="s">
        <v>55</v>
      </c>
      <c r="G88" t="s">
        <v>259</v>
      </c>
      <c r="H88">
        <v>3.7</v>
      </c>
      <c r="I88">
        <v>79293</v>
      </c>
      <c r="J88">
        <v>4.8</v>
      </c>
      <c r="K88">
        <v>56</v>
      </c>
      <c r="L88">
        <v>28</v>
      </c>
      <c r="M88">
        <v>10</v>
      </c>
      <c r="N88">
        <v>16</v>
      </c>
      <c r="O88" t="s">
        <v>118</v>
      </c>
    </row>
    <row r="89" spans="1:15" ht="15" customHeight="1" x14ac:dyDescent="0.3">
      <c r="A89">
        <f t="shared" si="1"/>
        <v>1088</v>
      </c>
      <c r="B89" t="s">
        <v>260</v>
      </c>
      <c r="C89" t="s">
        <v>52</v>
      </c>
      <c r="D89" t="s">
        <v>53</v>
      </c>
      <c r="E89" t="s">
        <v>68</v>
      </c>
      <c r="F89" t="s">
        <v>55</v>
      </c>
      <c r="G89" t="s">
        <v>261</v>
      </c>
      <c r="H89">
        <v>5.0999999999999996</v>
      </c>
      <c r="I89">
        <v>61049</v>
      </c>
      <c r="J89">
        <v>2.5</v>
      </c>
      <c r="K89">
        <v>52</v>
      </c>
      <c r="L89">
        <v>2</v>
      </c>
      <c r="M89">
        <v>6</v>
      </c>
      <c r="N89">
        <v>4</v>
      </c>
      <c r="O89" t="s">
        <v>57</v>
      </c>
    </row>
    <row r="90" spans="1:15" ht="15" customHeight="1" x14ac:dyDescent="0.3">
      <c r="A90">
        <f t="shared" si="1"/>
        <v>1089</v>
      </c>
      <c r="B90" t="s">
        <v>262</v>
      </c>
      <c r="C90" t="s">
        <v>79</v>
      </c>
      <c r="D90" t="s">
        <v>123</v>
      </c>
      <c r="E90" t="s">
        <v>54</v>
      </c>
      <c r="F90" t="s">
        <v>55</v>
      </c>
      <c r="G90" t="s">
        <v>263</v>
      </c>
      <c r="H90">
        <v>5.2</v>
      </c>
      <c r="I90">
        <v>63674</v>
      </c>
      <c r="J90">
        <v>4.3</v>
      </c>
      <c r="K90">
        <v>53</v>
      </c>
      <c r="L90">
        <v>26</v>
      </c>
      <c r="M90">
        <v>8</v>
      </c>
      <c r="N90">
        <v>16</v>
      </c>
      <c r="O90" t="s">
        <v>57</v>
      </c>
    </row>
    <row r="91" spans="1:15" ht="15" customHeight="1" x14ac:dyDescent="0.3">
      <c r="A91">
        <f t="shared" si="1"/>
        <v>1090</v>
      </c>
      <c r="B91" t="s">
        <v>264</v>
      </c>
      <c r="C91" t="s">
        <v>79</v>
      </c>
      <c r="D91" t="s">
        <v>167</v>
      </c>
      <c r="E91" t="s">
        <v>84</v>
      </c>
      <c r="F91" t="s">
        <v>60</v>
      </c>
      <c r="G91" t="s">
        <v>265</v>
      </c>
      <c r="H91">
        <v>3.5</v>
      </c>
      <c r="I91">
        <v>59654</v>
      </c>
      <c r="J91">
        <v>4.4000000000000004</v>
      </c>
      <c r="K91">
        <v>17</v>
      </c>
      <c r="L91">
        <v>27</v>
      </c>
      <c r="M91">
        <v>5</v>
      </c>
      <c r="N91">
        <v>9</v>
      </c>
      <c r="O91" t="s">
        <v>57</v>
      </c>
    </row>
    <row r="92" spans="1:15" ht="15" customHeight="1" x14ac:dyDescent="0.3">
      <c r="A92">
        <f t="shared" si="1"/>
        <v>1091</v>
      </c>
      <c r="B92" t="s">
        <v>266</v>
      </c>
      <c r="C92" t="s">
        <v>96</v>
      </c>
      <c r="D92" t="s">
        <v>97</v>
      </c>
      <c r="E92" t="s">
        <v>84</v>
      </c>
      <c r="F92" t="s">
        <v>55</v>
      </c>
      <c r="G92" t="s">
        <v>267</v>
      </c>
      <c r="H92">
        <v>5.3</v>
      </c>
      <c r="I92">
        <v>50084</v>
      </c>
      <c r="J92">
        <v>3.2</v>
      </c>
      <c r="K92">
        <v>38</v>
      </c>
      <c r="L92">
        <v>26</v>
      </c>
      <c r="M92">
        <v>9</v>
      </c>
      <c r="N92">
        <v>19</v>
      </c>
      <c r="O92" t="s">
        <v>57</v>
      </c>
    </row>
    <row r="93" spans="1:15" ht="15" customHeight="1" x14ac:dyDescent="0.3">
      <c r="A93">
        <f t="shared" si="1"/>
        <v>1092</v>
      </c>
      <c r="B93" t="s">
        <v>268</v>
      </c>
      <c r="C93" t="s">
        <v>79</v>
      </c>
      <c r="D93" t="s">
        <v>123</v>
      </c>
      <c r="E93" t="s">
        <v>77</v>
      </c>
      <c r="F93" t="s">
        <v>60</v>
      </c>
      <c r="G93" t="s">
        <v>269</v>
      </c>
      <c r="H93">
        <v>4.0999999999999996</v>
      </c>
      <c r="I93">
        <v>58309</v>
      </c>
      <c r="J93">
        <v>3.3</v>
      </c>
      <c r="K93">
        <v>69</v>
      </c>
      <c r="L93">
        <v>12</v>
      </c>
      <c r="M93">
        <v>8</v>
      </c>
      <c r="N93">
        <v>11</v>
      </c>
      <c r="O93" t="s">
        <v>57</v>
      </c>
    </row>
    <row r="94" spans="1:15" ht="15" customHeight="1" x14ac:dyDescent="0.3">
      <c r="A94">
        <f t="shared" si="1"/>
        <v>1093</v>
      </c>
      <c r="B94" t="s">
        <v>270</v>
      </c>
      <c r="C94" t="s">
        <v>67</v>
      </c>
      <c r="D94" t="s">
        <v>63</v>
      </c>
      <c r="E94" t="s">
        <v>84</v>
      </c>
      <c r="F94" t="s">
        <v>55</v>
      </c>
      <c r="G94" t="s">
        <v>271</v>
      </c>
      <c r="H94">
        <v>6.6</v>
      </c>
      <c r="I94">
        <v>85426</v>
      </c>
      <c r="J94">
        <v>4.4000000000000004</v>
      </c>
      <c r="K94">
        <v>48</v>
      </c>
      <c r="L94">
        <v>12</v>
      </c>
      <c r="M94">
        <v>10</v>
      </c>
      <c r="N94">
        <v>21</v>
      </c>
      <c r="O94" t="s">
        <v>57</v>
      </c>
    </row>
    <row r="95" spans="1:15" ht="15" customHeight="1" x14ac:dyDescent="0.3">
      <c r="A95">
        <f t="shared" si="1"/>
        <v>1094</v>
      </c>
      <c r="B95" t="s">
        <v>272</v>
      </c>
      <c r="C95" t="s">
        <v>67</v>
      </c>
      <c r="D95" t="s">
        <v>114</v>
      </c>
      <c r="E95" t="s">
        <v>77</v>
      </c>
      <c r="F95" t="s">
        <v>60</v>
      </c>
      <c r="G95" t="s">
        <v>273</v>
      </c>
      <c r="H95">
        <v>3.5</v>
      </c>
      <c r="I95">
        <v>135878</v>
      </c>
      <c r="J95">
        <v>4.7</v>
      </c>
      <c r="K95">
        <v>56</v>
      </c>
      <c r="L95">
        <v>3</v>
      </c>
      <c r="M95">
        <v>9</v>
      </c>
      <c r="N95">
        <v>0</v>
      </c>
      <c r="O95" t="s">
        <v>118</v>
      </c>
    </row>
    <row r="96" spans="1:15" ht="15" customHeight="1" x14ac:dyDescent="0.3">
      <c r="A96">
        <f t="shared" si="1"/>
        <v>1095</v>
      </c>
      <c r="B96" t="s">
        <v>274</v>
      </c>
      <c r="C96" t="s">
        <v>96</v>
      </c>
      <c r="D96" t="s">
        <v>97</v>
      </c>
      <c r="E96" t="s">
        <v>68</v>
      </c>
      <c r="F96" t="s">
        <v>60</v>
      </c>
      <c r="G96" t="s">
        <v>275</v>
      </c>
      <c r="H96">
        <v>6</v>
      </c>
      <c r="I96">
        <v>52451</v>
      </c>
      <c r="J96">
        <v>3.7</v>
      </c>
      <c r="K96">
        <v>33</v>
      </c>
      <c r="L96">
        <v>10</v>
      </c>
      <c r="M96">
        <v>9</v>
      </c>
      <c r="N96">
        <v>23</v>
      </c>
      <c r="O96" t="s">
        <v>57</v>
      </c>
    </row>
    <row r="97" spans="1:15" ht="15" customHeight="1" x14ac:dyDescent="0.3">
      <c r="A97">
        <f t="shared" si="1"/>
        <v>1096</v>
      </c>
      <c r="B97" t="s">
        <v>276</v>
      </c>
      <c r="C97" t="s">
        <v>96</v>
      </c>
      <c r="D97" t="s">
        <v>97</v>
      </c>
      <c r="E97" t="s">
        <v>54</v>
      </c>
      <c r="F97" t="s">
        <v>55</v>
      </c>
      <c r="G97" t="s">
        <v>277</v>
      </c>
      <c r="H97">
        <v>2</v>
      </c>
      <c r="I97">
        <v>67485</v>
      </c>
      <c r="J97">
        <v>3.5</v>
      </c>
      <c r="K97">
        <v>40</v>
      </c>
      <c r="L97">
        <v>20</v>
      </c>
      <c r="M97">
        <v>10</v>
      </c>
      <c r="N97">
        <v>25</v>
      </c>
      <c r="O97" t="s">
        <v>57</v>
      </c>
    </row>
    <row r="98" spans="1:15" ht="15" customHeight="1" x14ac:dyDescent="0.3">
      <c r="A98">
        <f t="shared" si="1"/>
        <v>1097</v>
      </c>
      <c r="B98" t="s">
        <v>278</v>
      </c>
      <c r="C98" t="s">
        <v>58</v>
      </c>
      <c r="D98" t="s">
        <v>70</v>
      </c>
      <c r="E98" t="s">
        <v>68</v>
      </c>
      <c r="F98" t="s">
        <v>60</v>
      </c>
      <c r="G98" t="s">
        <v>279</v>
      </c>
      <c r="H98">
        <v>5.5</v>
      </c>
      <c r="I98">
        <v>59416</v>
      </c>
      <c r="J98">
        <v>5</v>
      </c>
      <c r="K98">
        <v>11</v>
      </c>
      <c r="L98">
        <v>13</v>
      </c>
      <c r="M98">
        <v>5</v>
      </c>
      <c r="N98">
        <v>25</v>
      </c>
      <c r="O98" t="s">
        <v>57</v>
      </c>
    </row>
    <row r="99" spans="1:15" ht="15" customHeight="1" x14ac:dyDescent="0.3">
      <c r="A99">
        <f t="shared" si="1"/>
        <v>1098</v>
      </c>
      <c r="B99" t="s">
        <v>280</v>
      </c>
      <c r="C99" t="s">
        <v>67</v>
      </c>
      <c r="D99" t="s">
        <v>114</v>
      </c>
      <c r="E99" t="s">
        <v>77</v>
      </c>
      <c r="F99" t="s">
        <v>60</v>
      </c>
      <c r="G99" t="s">
        <v>281</v>
      </c>
      <c r="H99">
        <v>5.0999999999999996</v>
      </c>
      <c r="I99">
        <v>125948</v>
      </c>
      <c r="J99">
        <v>2.6</v>
      </c>
      <c r="K99">
        <v>7</v>
      </c>
      <c r="L99">
        <v>9</v>
      </c>
      <c r="M99">
        <v>7</v>
      </c>
      <c r="N99">
        <v>12</v>
      </c>
      <c r="O99" t="s">
        <v>57</v>
      </c>
    </row>
    <row r="100" spans="1:15" ht="15" customHeight="1" x14ac:dyDescent="0.3">
      <c r="A100">
        <f t="shared" si="1"/>
        <v>1099</v>
      </c>
      <c r="B100" t="s">
        <v>282</v>
      </c>
      <c r="C100" t="s">
        <v>58</v>
      </c>
      <c r="D100" t="s">
        <v>212</v>
      </c>
      <c r="E100" t="s">
        <v>84</v>
      </c>
      <c r="F100" t="s">
        <v>55</v>
      </c>
      <c r="G100" t="s">
        <v>283</v>
      </c>
      <c r="H100">
        <v>2.4</v>
      </c>
      <c r="I100">
        <v>90900</v>
      </c>
      <c r="J100">
        <v>2.9</v>
      </c>
      <c r="K100">
        <v>10</v>
      </c>
      <c r="L100">
        <v>19</v>
      </c>
      <c r="M100">
        <v>8</v>
      </c>
      <c r="N100">
        <v>20</v>
      </c>
      <c r="O100" t="s">
        <v>57</v>
      </c>
    </row>
    <row r="101" spans="1:15" ht="15" customHeight="1" x14ac:dyDescent="0.3">
      <c r="A101">
        <f t="shared" si="1"/>
        <v>1100</v>
      </c>
      <c r="B101" t="s">
        <v>284</v>
      </c>
      <c r="C101" t="s">
        <v>67</v>
      </c>
      <c r="D101" t="s">
        <v>63</v>
      </c>
      <c r="E101" t="s">
        <v>77</v>
      </c>
      <c r="F101" t="s">
        <v>55</v>
      </c>
      <c r="G101" t="s">
        <v>285</v>
      </c>
      <c r="H101">
        <v>3.2</v>
      </c>
      <c r="I101">
        <v>83322</v>
      </c>
      <c r="J101">
        <v>3.6</v>
      </c>
      <c r="K101">
        <v>1</v>
      </c>
      <c r="L101">
        <v>28</v>
      </c>
      <c r="M101">
        <v>8</v>
      </c>
      <c r="N101">
        <v>10</v>
      </c>
      <c r="O101" t="s">
        <v>57</v>
      </c>
    </row>
    <row r="102" spans="1:15" ht="15" customHeight="1" x14ac:dyDescent="0.3">
      <c r="A102">
        <f t="shared" si="1"/>
        <v>1101</v>
      </c>
      <c r="B102" t="s">
        <v>286</v>
      </c>
      <c r="C102" t="s">
        <v>79</v>
      </c>
      <c r="D102" t="s">
        <v>80</v>
      </c>
      <c r="E102" t="s">
        <v>77</v>
      </c>
      <c r="F102" t="s">
        <v>60</v>
      </c>
      <c r="G102" t="s">
        <v>287</v>
      </c>
      <c r="H102">
        <v>3.5</v>
      </c>
      <c r="I102">
        <v>79802</v>
      </c>
      <c r="J102">
        <v>4.0999999999999996</v>
      </c>
      <c r="K102">
        <v>54</v>
      </c>
      <c r="L102">
        <v>22</v>
      </c>
      <c r="M102">
        <v>7</v>
      </c>
      <c r="N102">
        <v>15</v>
      </c>
      <c r="O102" t="s">
        <v>57</v>
      </c>
    </row>
    <row r="103" spans="1:15" ht="15" customHeight="1" x14ac:dyDescent="0.3">
      <c r="A103">
        <f t="shared" si="1"/>
        <v>1102</v>
      </c>
      <c r="B103" t="s">
        <v>288</v>
      </c>
      <c r="C103" t="s">
        <v>96</v>
      </c>
      <c r="D103" t="s">
        <v>180</v>
      </c>
      <c r="E103" t="s">
        <v>84</v>
      </c>
      <c r="F103" t="s">
        <v>60</v>
      </c>
      <c r="G103" t="s">
        <v>289</v>
      </c>
      <c r="H103">
        <v>6.2</v>
      </c>
      <c r="I103">
        <v>70772</v>
      </c>
      <c r="J103">
        <v>3.5</v>
      </c>
      <c r="K103">
        <v>45</v>
      </c>
      <c r="L103">
        <v>18</v>
      </c>
      <c r="M103">
        <v>7</v>
      </c>
      <c r="N103">
        <v>23</v>
      </c>
      <c r="O103" t="s">
        <v>57</v>
      </c>
    </row>
    <row r="104" spans="1:15" ht="15" customHeight="1" x14ac:dyDescent="0.3">
      <c r="A104">
        <f t="shared" si="1"/>
        <v>1103</v>
      </c>
      <c r="B104" t="s">
        <v>290</v>
      </c>
      <c r="C104" t="s">
        <v>90</v>
      </c>
      <c r="D104" t="s">
        <v>104</v>
      </c>
      <c r="E104" t="s">
        <v>54</v>
      </c>
      <c r="F104" t="s">
        <v>60</v>
      </c>
      <c r="G104" t="s">
        <v>291</v>
      </c>
      <c r="H104">
        <v>2</v>
      </c>
      <c r="I104">
        <v>116607</v>
      </c>
      <c r="J104">
        <v>4.8</v>
      </c>
      <c r="K104">
        <v>63</v>
      </c>
      <c r="L104">
        <v>26</v>
      </c>
      <c r="M104">
        <v>7</v>
      </c>
      <c r="N104">
        <v>25</v>
      </c>
      <c r="O104" t="s">
        <v>57</v>
      </c>
    </row>
    <row r="105" spans="1:15" ht="15" customHeight="1" x14ac:dyDescent="0.3">
      <c r="A105">
        <f t="shared" si="1"/>
        <v>1104</v>
      </c>
      <c r="B105" t="s">
        <v>292</v>
      </c>
      <c r="C105" t="s">
        <v>67</v>
      </c>
      <c r="D105" t="s">
        <v>114</v>
      </c>
      <c r="E105" t="s">
        <v>64</v>
      </c>
      <c r="F105" t="s">
        <v>60</v>
      </c>
      <c r="G105" t="s">
        <v>293</v>
      </c>
      <c r="H105">
        <v>5.8</v>
      </c>
      <c r="I105">
        <v>133212</v>
      </c>
      <c r="J105">
        <v>4.2</v>
      </c>
      <c r="K105">
        <v>17</v>
      </c>
      <c r="L105">
        <v>20</v>
      </c>
      <c r="M105">
        <v>5</v>
      </c>
      <c r="N105">
        <v>21</v>
      </c>
      <c r="O105" t="s">
        <v>57</v>
      </c>
    </row>
    <row r="106" spans="1:15" ht="15" customHeight="1" x14ac:dyDescent="0.3">
      <c r="A106">
        <f t="shared" si="1"/>
        <v>1105</v>
      </c>
      <c r="B106" t="s">
        <v>294</v>
      </c>
      <c r="C106" t="s">
        <v>90</v>
      </c>
      <c r="D106" t="s">
        <v>104</v>
      </c>
      <c r="E106" t="s">
        <v>77</v>
      </c>
      <c r="F106" t="s">
        <v>60</v>
      </c>
      <c r="G106" t="s">
        <v>295</v>
      </c>
      <c r="H106">
        <v>4.8</v>
      </c>
      <c r="I106">
        <v>119306</v>
      </c>
      <c r="J106">
        <v>2.7</v>
      </c>
      <c r="K106">
        <v>37</v>
      </c>
      <c r="L106">
        <v>10</v>
      </c>
      <c r="M106">
        <v>10</v>
      </c>
      <c r="N106">
        <v>14</v>
      </c>
      <c r="O106" t="s">
        <v>57</v>
      </c>
    </row>
    <row r="107" spans="1:15" ht="15" customHeight="1" x14ac:dyDescent="0.3">
      <c r="A107">
        <f t="shared" si="1"/>
        <v>1106</v>
      </c>
      <c r="B107" t="s">
        <v>296</v>
      </c>
      <c r="C107" t="s">
        <v>58</v>
      </c>
      <c r="D107" t="s">
        <v>212</v>
      </c>
      <c r="E107" t="s">
        <v>68</v>
      </c>
      <c r="F107" t="s">
        <v>60</v>
      </c>
      <c r="G107" t="s">
        <v>196</v>
      </c>
      <c r="H107">
        <v>5.3</v>
      </c>
      <c r="I107">
        <v>90391</v>
      </c>
      <c r="J107">
        <v>3.1</v>
      </c>
      <c r="K107">
        <v>61</v>
      </c>
      <c r="L107">
        <v>30</v>
      </c>
      <c r="M107">
        <v>7</v>
      </c>
      <c r="N107">
        <v>24</v>
      </c>
      <c r="O107" t="s">
        <v>57</v>
      </c>
    </row>
    <row r="108" spans="1:15" ht="15" customHeight="1" x14ac:dyDescent="0.3">
      <c r="A108">
        <f t="shared" si="1"/>
        <v>1107</v>
      </c>
      <c r="B108" t="s">
        <v>297</v>
      </c>
      <c r="C108" t="s">
        <v>90</v>
      </c>
      <c r="D108" t="s">
        <v>91</v>
      </c>
      <c r="E108" t="s">
        <v>84</v>
      </c>
      <c r="F108" t="s">
        <v>55</v>
      </c>
      <c r="G108" t="s">
        <v>298</v>
      </c>
      <c r="H108">
        <v>2.6</v>
      </c>
      <c r="I108">
        <v>47392</v>
      </c>
      <c r="J108">
        <v>4.7</v>
      </c>
      <c r="K108">
        <v>50</v>
      </c>
      <c r="L108">
        <v>30</v>
      </c>
      <c r="M108">
        <v>9</v>
      </c>
      <c r="N108">
        <v>12</v>
      </c>
      <c r="O108" t="s">
        <v>118</v>
      </c>
    </row>
    <row r="109" spans="1:15" ht="15" customHeight="1" x14ac:dyDescent="0.3">
      <c r="A109">
        <f t="shared" si="1"/>
        <v>1108</v>
      </c>
      <c r="B109" t="s">
        <v>299</v>
      </c>
      <c r="C109" t="s">
        <v>75</v>
      </c>
      <c r="D109" t="s">
        <v>83</v>
      </c>
      <c r="E109" t="s">
        <v>68</v>
      </c>
      <c r="F109" t="s">
        <v>55</v>
      </c>
      <c r="G109" t="s">
        <v>300</v>
      </c>
      <c r="H109">
        <v>4.3</v>
      </c>
      <c r="I109">
        <v>77077</v>
      </c>
      <c r="J109">
        <v>4.2</v>
      </c>
      <c r="K109">
        <v>33</v>
      </c>
      <c r="L109">
        <v>18</v>
      </c>
      <c r="M109">
        <v>8</v>
      </c>
      <c r="N109">
        <v>21</v>
      </c>
      <c r="O109" t="s">
        <v>57</v>
      </c>
    </row>
    <row r="110" spans="1:15" ht="15" customHeight="1" x14ac:dyDescent="0.3">
      <c r="A110">
        <f t="shared" si="1"/>
        <v>1109</v>
      </c>
      <c r="B110" t="s">
        <v>301</v>
      </c>
      <c r="C110" t="s">
        <v>79</v>
      </c>
      <c r="D110" t="s">
        <v>167</v>
      </c>
      <c r="E110" t="s">
        <v>84</v>
      </c>
      <c r="F110" t="s">
        <v>60</v>
      </c>
      <c r="G110" t="s">
        <v>302</v>
      </c>
      <c r="H110">
        <v>3.4</v>
      </c>
      <c r="I110">
        <v>61396</v>
      </c>
      <c r="J110">
        <v>3.3</v>
      </c>
      <c r="K110">
        <v>78</v>
      </c>
      <c r="L110">
        <v>7</v>
      </c>
      <c r="M110">
        <v>10</v>
      </c>
      <c r="N110">
        <v>3</v>
      </c>
      <c r="O110" t="s">
        <v>57</v>
      </c>
    </row>
    <row r="111" spans="1:15" ht="15" customHeight="1" x14ac:dyDescent="0.3">
      <c r="A111">
        <f t="shared" si="1"/>
        <v>1110</v>
      </c>
      <c r="B111" t="s">
        <v>303</v>
      </c>
      <c r="C111" t="s">
        <v>52</v>
      </c>
      <c r="D111" t="s">
        <v>130</v>
      </c>
      <c r="E111" t="s">
        <v>54</v>
      </c>
      <c r="F111" t="s">
        <v>55</v>
      </c>
      <c r="G111" t="s">
        <v>304</v>
      </c>
      <c r="H111">
        <v>6.2</v>
      </c>
      <c r="I111">
        <v>81580</v>
      </c>
      <c r="J111">
        <v>2.6</v>
      </c>
      <c r="K111">
        <v>4</v>
      </c>
      <c r="L111">
        <v>9</v>
      </c>
      <c r="M111">
        <v>8</v>
      </c>
      <c r="N111">
        <v>4</v>
      </c>
      <c r="O111" t="s">
        <v>118</v>
      </c>
    </row>
    <row r="112" spans="1:15" ht="15" customHeight="1" x14ac:dyDescent="0.3">
      <c r="A112">
        <f t="shared" si="1"/>
        <v>1111</v>
      </c>
      <c r="B112" t="s">
        <v>305</v>
      </c>
      <c r="C112" t="s">
        <v>79</v>
      </c>
      <c r="D112" t="s">
        <v>80</v>
      </c>
      <c r="E112" t="s">
        <v>84</v>
      </c>
      <c r="F112" t="s">
        <v>60</v>
      </c>
      <c r="G112" t="s">
        <v>306</v>
      </c>
      <c r="H112">
        <v>4.7</v>
      </c>
      <c r="I112">
        <v>87701</v>
      </c>
      <c r="J112">
        <v>3.5</v>
      </c>
      <c r="K112">
        <v>19</v>
      </c>
      <c r="L112">
        <v>28</v>
      </c>
      <c r="M112">
        <v>8</v>
      </c>
      <c r="N112">
        <v>21</v>
      </c>
      <c r="O112" t="s">
        <v>118</v>
      </c>
    </row>
    <row r="113" spans="1:15" ht="15" customHeight="1" x14ac:dyDescent="0.3">
      <c r="A113">
        <f t="shared" si="1"/>
        <v>1112</v>
      </c>
      <c r="B113" t="s">
        <v>307</v>
      </c>
      <c r="C113" t="s">
        <v>75</v>
      </c>
      <c r="D113" t="s">
        <v>83</v>
      </c>
      <c r="E113" t="s">
        <v>64</v>
      </c>
      <c r="F113" t="s">
        <v>60</v>
      </c>
      <c r="G113" t="s">
        <v>308</v>
      </c>
      <c r="H113">
        <v>3</v>
      </c>
      <c r="I113">
        <v>77141</v>
      </c>
      <c r="J113">
        <v>3</v>
      </c>
      <c r="K113">
        <v>56</v>
      </c>
      <c r="L113">
        <v>30</v>
      </c>
      <c r="M113">
        <v>6</v>
      </c>
      <c r="N113">
        <v>12</v>
      </c>
      <c r="O113" t="s">
        <v>118</v>
      </c>
    </row>
    <row r="114" spans="1:15" ht="15" customHeight="1" x14ac:dyDescent="0.3">
      <c r="A114">
        <f t="shared" si="1"/>
        <v>1113</v>
      </c>
      <c r="B114" t="s">
        <v>309</v>
      </c>
      <c r="C114" t="s">
        <v>90</v>
      </c>
      <c r="D114" t="s">
        <v>148</v>
      </c>
      <c r="E114" t="s">
        <v>54</v>
      </c>
      <c r="F114" t="s">
        <v>55</v>
      </c>
      <c r="G114" t="s">
        <v>310</v>
      </c>
      <c r="H114">
        <v>5.3</v>
      </c>
      <c r="I114">
        <v>76219</v>
      </c>
      <c r="J114">
        <v>4.9000000000000004</v>
      </c>
      <c r="K114">
        <v>58</v>
      </c>
      <c r="L114">
        <v>2</v>
      </c>
      <c r="M114">
        <v>10</v>
      </c>
      <c r="N114">
        <v>7</v>
      </c>
      <c r="O114" t="s">
        <v>57</v>
      </c>
    </row>
    <row r="115" spans="1:15" ht="15" customHeight="1" x14ac:dyDescent="0.3">
      <c r="A115">
        <f t="shared" si="1"/>
        <v>1114</v>
      </c>
      <c r="B115" t="s">
        <v>311</v>
      </c>
      <c r="C115" t="s">
        <v>90</v>
      </c>
      <c r="D115" t="s">
        <v>148</v>
      </c>
      <c r="E115" t="s">
        <v>77</v>
      </c>
      <c r="F115" t="s">
        <v>60</v>
      </c>
      <c r="G115" t="s">
        <v>312</v>
      </c>
      <c r="H115">
        <v>5.5</v>
      </c>
      <c r="I115">
        <v>74126</v>
      </c>
      <c r="J115">
        <v>4.5</v>
      </c>
      <c r="K115">
        <v>26</v>
      </c>
      <c r="L115">
        <v>2</v>
      </c>
      <c r="M115">
        <v>9</v>
      </c>
      <c r="N115">
        <v>7</v>
      </c>
      <c r="O115" t="s">
        <v>57</v>
      </c>
    </row>
    <row r="116" spans="1:15" ht="15" customHeight="1" x14ac:dyDescent="0.3">
      <c r="A116">
        <f t="shared" si="1"/>
        <v>1115</v>
      </c>
      <c r="B116" t="s">
        <v>313</v>
      </c>
      <c r="C116" t="s">
        <v>96</v>
      </c>
      <c r="D116" t="s">
        <v>120</v>
      </c>
      <c r="E116" t="s">
        <v>68</v>
      </c>
      <c r="F116" t="s">
        <v>55</v>
      </c>
      <c r="G116" t="s">
        <v>314</v>
      </c>
      <c r="H116">
        <v>2.4</v>
      </c>
      <c r="I116">
        <v>52529</v>
      </c>
      <c r="J116">
        <v>2.5</v>
      </c>
      <c r="K116">
        <v>18</v>
      </c>
      <c r="L116">
        <v>4</v>
      </c>
      <c r="M116">
        <v>9</v>
      </c>
      <c r="N116">
        <v>9</v>
      </c>
      <c r="O116" t="s">
        <v>57</v>
      </c>
    </row>
    <row r="117" spans="1:15" ht="15" customHeight="1" x14ac:dyDescent="0.3">
      <c r="A117">
        <f t="shared" si="1"/>
        <v>1116</v>
      </c>
      <c r="B117" t="s">
        <v>315</v>
      </c>
      <c r="C117" t="s">
        <v>67</v>
      </c>
      <c r="D117" t="s">
        <v>189</v>
      </c>
      <c r="E117" t="s">
        <v>84</v>
      </c>
      <c r="F117" t="s">
        <v>55</v>
      </c>
      <c r="G117" t="s">
        <v>316</v>
      </c>
      <c r="H117">
        <v>4.8</v>
      </c>
      <c r="I117">
        <v>52796</v>
      </c>
      <c r="J117">
        <v>4</v>
      </c>
      <c r="K117">
        <v>2</v>
      </c>
      <c r="L117">
        <v>5</v>
      </c>
      <c r="M117">
        <v>7</v>
      </c>
      <c r="N117">
        <v>2</v>
      </c>
      <c r="O117" t="s">
        <v>118</v>
      </c>
    </row>
    <row r="118" spans="1:15" ht="15" customHeight="1" x14ac:dyDescent="0.3">
      <c r="A118">
        <f t="shared" si="1"/>
        <v>1117</v>
      </c>
      <c r="B118" t="s">
        <v>317</v>
      </c>
      <c r="C118" t="s">
        <v>52</v>
      </c>
      <c r="D118" t="s">
        <v>53</v>
      </c>
      <c r="E118" t="s">
        <v>54</v>
      </c>
      <c r="F118" t="s">
        <v>55</v>
      </c>
      <c r="G118" t="s">
        <v>318</v>
      </c>
      <c r="H118">
        <v>4.2</v>
      </c>
      <c r="I118">
        <v>57689</v>
      </c>
      <c r="J118">
        <v>4.4000000000000004</v>
      </c>
      <c r="K118">
        <v>65</v>
      </c>
      <c r="L118">
        <v>18</v>
      </c>
      <c r="M118">
        <v>5</v>
      </c>
      <c r="N118">
        <v>15</v>
      </c>
      <c r="O118" t="s">
        <v>57</v>
      </c>
    </row>
    <row r="119" spans="1:15" ht="15" customHeight="1" x14ac:dyDescent="0.3">
      <c r="A119">
        <f t="shared" si="1"/>
        <v>1118</v>
      </c>
      <c r="B119" t="s">
        <v>319</v>
      </c>
      <c r="C119" t="s">
        <v>52</v>
      </c>
      <c r="D119" t="s">
        <v>145</v>
      </c>
      <c r="E119" t="s">
        <v>68</v>
      </c>
      <c r="F119" t="s">
        <v>60</v>
      </c>
      <c r="G119" t="s">
        <v>320</v>
      </c>
      <c r="H119">
        <v>3.9</v>
      </c>
      <c r="I119">
        <v>54883</v>
      </c>
      <c r="J119">
        <v>3.6</v>
      </c>
      <c r="K119">
        <v>3</v>
      </c>
      <c r="L119">
        <v>1</v>
      </c>
      <c r="M119">
        <v>8</v>
      </c>
      <c r="N119">
        <v>13</v>
      </c>
      <c r="O119" t="s">
        <v>57</v>
      </c>
    </row>
    <row r="120" spans="1:15" ht="15" customHeight="1" x14ac:dyDescent="0.3">
      <c r="A120">
        <f t="shared" si="1"/>
        <v>1119</v>
      </c>
      <c r="B120" t="s">
        <v>321</v>
      </c>
      <c r="C120" t="s">
        <v>52</v>
      </c>
      <c r="D120" t="s">
        <v>130</v>
      </c>
      <c r="E120" t="s">
        <v>54</v>
      </c>
      <c r="F120" t="s">
        <v>60</v>
      </c>
      <c r="G120" t="s">
        <v>322</v>
      </c>
      <c r="H120">
        <v>6.4</v>
      </c>
      <c r="I120">
        <v>79647</v>
      </c>
      <c r="J120">
        <v>3.3</v>
      </c>
      <c r="K120">
        <v>18</v>
      </c>
      <c r="L120">
        <v>2</v>
      </c>
      <c r="M120">
        <v>6</v>
      </c>
      <c r="N120">
        <v>9</v>
      </c>
      <c r="O120" t="s">
        <v>57</v>
      </c>
    </row>
    <row r="121" spans="1:15" ht="15" customHeight="1" x14ac:dyDescent="0.3">
      <c r="A121">
        <f t="shared" si="1"/>
        <v>1120</v>
      </c>
      <c r="B121" t="s">
        <v>323</v>
      </c>
      <c r="C121" t="s">
        <v>79</v>
      </c>
      <c r="D121" t="s">
        <v>123</v>
      </c>
      <c r="E121" t="s">
        <v>54</v>
      </c>
      <c r="F121" t="s">
        <v>55</v>
      </c>
      <c r="G121" t="s">
        <v>324</v>
      </c>
      <c r="H121">
        <v>3.9</v>
      </c>
      <c r="I121">
        <v>56663</v>
      </c>
      <c r="J121">
        <v>3.6</v>
      </c>
      <c r="K121">
        <v>77</v>
      </c>
      <c r="L121">
        <v>13</v>
      </c>
      <c r="M121">
        <v>5</v>
      </c>
      <c r="N121">
        <v>23</v>
      </c>
      <c r="O121" t="s">
        <v>118</v>
      </c>
    </row>
    <row r="122" spans="1:15" ht="15" customHeight="1" x14ac:dyDescent="0.3">
      <c r="A122">
        <f t="shared" si="1"/>
        <v>1121</v>
      </c>
      <c r="B122" t="s">
        <v>325</v>
      </c>
      <c r="C122" t="s">
        <v>79</v>
      </c>
      <c r="D122" t="s">
        <v>80</v>
      </c>
      <c r="E122" t="s">
        <v>84</v>
      </c>
      <c r="F122" t="s">
        <v>60</v>
      </c>
      <c r="G122" t="s">
        <v>326</v>
      </c>
      <c r="H122">
        <v>1.8</v>
      </c>
      <c r="I122">
        <v>77487</v>
      </c>
      <c r="J122">
        <v>3.5</v>
      </c>
      <c r="K122">
        <v>58</v>
      </c>
      <c r="L122">
        <v>12</v>
      </c>
      <c r="M122">
        <v>8</v>
      </c>
      <c r="N122">
        <v>24</v>
      </c>
      <c r="O122" t="s">
        <v>118</v>
      </c>
    </row>
    <row r="123" spans="1:15" ht="15" customHeight="1" x14ac:dyDescent="0.3">
      <c r="A123">
        <f t="shared" si="1"/>
        <v>1122</v>
      </c>
      <c r="B123" t="s">
        <v>327</v>
      </c>
      <c r="C123" t="s">
        <v>52</v>
      </c>
      <c r="D123" t="s">
        <v>130</v>
      </c>
      <c r="E123" t="s">
        <v>382</v>
      </c>
      <c r="F123" t="s">
        <v>60</v>
      </c>
      <c r="G123" t="s">
        <v>328</v>
      </c>
      <c r="H123">
        <v>4.7</v>
      </c>
      <c r="I123">
        <v>82001</v>
      </c>
      <c r="J123">
        <v>4.2</v>
      </c>
      <c r="K123">
        <v>60</v>
      </c>
      <c r="L123">
        <v>2</v>
      </c>
      <c r="M123">
        <v>5</v>
      </c>
      <c r="N123">
        <v>3</v>
      </c>
      <c r="O123" t="s">
        <v>118</v>
      </c>
    </row>
    <row r="124" spans="1:15" ht="15" customHeight="1" x14ac:dyDescent="0.3">
      <c r="A124">
        <f t="shared" si="1"/>
        <v>1123</v>
      </c>
      <c r="B124" t="s">
        <v>329</v>
      </c>
      <c r="C124" t="s">
        <v>96</v>
      </c>
      <c r="D124" t="s">
        <v>120</v>
      </c>
      <c r="E124" t="s">
        <v>64</v>
      </c>
      <c r="F124" t="s">
        <v>60</v>
      </c>
      <c r="G124" t="s">
        <v>330</v>
      </c>
      <c r="H124">
        <v>3.7</v>
      </c>
      <c r="I124">
        <v>34965</v>
      </c>
      <c r="J124">
        <v>4</v>
      </c>
      <c r="K124">
        <v>71</v>
      </c>
      <c r="L124">
        <v>17</v>
      </c>
      <c r="M124">
        <v>7</v>
      </c>
      <c r="N124">
        <v>22</v>
      </c>
      <c r="O124" t="s">
        <v>118</v>
      </c>
    </row>
    <row r="125" spans="1:15" ht="15" customHeight="1" x14ac:dyDescent="0.3">
      <c r="A125">
        <f t="shared" si="1"/>
        <v>1124</v>
      </c>
      <c r="B125" t="s">
        <v>331</v>
      </c>
      <c r="C125" t="s">
        <v>96</v>
      </c>
      <c r="D125" t="s">
        <v>97</v>
      </c>
      <c r="E125" t="s">
        <v>84</v>
      </c>
      <c r="F125" t="s">
        <v>55</v>
      </c>
      <c r="G125" t="s">
        <v>233</v>
      </c>
      <c r="H125">
        <v>6.5</v>
      </c>
      <c r="I125">
        <v>59425</v>
      </c>
      <c r="J125">
        <v>4</v>
      </c>
      <c r="K125">
        <v>45</v>
      </c>
      <c r="L125">
        <v>3</v>
      </c>
      <c r="M125">
        <v>9</v>
      </c>
      <c r="N125">
        <v>17</v>
      </c>
      <c r="O125" t="s">
        <v>57</v>
      </c>
    </row>
    <row r="126" spans="1:15" ht="15" customHeight="1" x14ac:dyDescent="0.3">
      <c r="A126">
        <f t="shared" si="1"/>
        <v>1125</v>
      </c>
      <c r="B126" t="s">
        <v>332</v>
      </c>
      <c r="C126" t="s">
        <v>96</v>
      </c>
      <c r="D126" t="s">
        <v>120</v>
      </c>
      <c r="E126" t="s">
        <v>54</v>
      </c>
      <c r="F126" t="s">
        <v>55</v>
      </c>
      <c r="G126" t="s">
        <v>333</v>
      </c>
      <c r="H126">
        <v>4.9000000000000004</v>
      </c>
      <c r="I126">
        <v>51227</v>
      </c>
      <c r="J126">
        <v>3.4</v>
      </c>
      <c r="K126">
        <v>35</v>
      </c>
      <c r="L126">
        <v>18</v>
      </c>
      <c r="M126">
        <v>6</v>
      </c>
      <c r="N126">
        <v>14</v>
      </c>
      <c r="O126" t="s">
        <v>57</v>
      </c>
    </row>
    <row r="127" spans="1:15" ht="15" customHeight="1" x14ac:dyDescent="0.3">
      <c r="A127">
        <f t="shared" si="1"/>
        <v>1126</v>
      </c>
      <c r="B127" t="s">
        <v>334</v>
      </c>
      <c r="C127" t="s">
        <v>58</v>
      </c>
      <c r="D127" t="s">
        <v>212</v>
      </c>
      <c r="E127" t="s">
        <v>77</v>
      </c>
      <c r="F127" t="s">
        <v>55</v>
      </c>
      <c r="G127" t="s">
        <v>335</v>
      </c>
      <c r="H127">
        <v>2.2000000000000002</v>
      </c>
      <c r="I127">
        <v>93763</v>
      </c>
      <c r="J127">
        <v>2.6</v>
      </c>
      <c r="K127">
        <v>34</v>
      </c>
      <c r="L127">
        <v>22</v>
      </c>
      <c r="M127">
        <v>7</v>
      </c>
      <c r="N127">
        <v>11</v>
      </c>
      <c r="O127" t="s">
        <v>57</v>
      </c>
    </row>
    <row r="128" spans="1:15" ht="15" customHeight="1" x14ac:dyDescent="0.3">
      <c r="A128">
        <f t="shared" si="1"/>
        <v>1127</v>
      </c>
      <c r="B128" t="s">
        <v>336</v>
      </c>
      <c r="C128" t="s">
        <v>58</v>
      </c>
      <c r="D128" t="s">
        <v>212</v>
      </c>
      <c r="E128" t="s">
        <v>84</v>
      </c>
      <c r="F128" t="s">
        <v>60</v>
      </c>
      <c r="G128" t="s">
        <v>337</v>
      </c>
      <c r="H128">
        <v>4.5999999999999996</v>
      </c>
      <c r="I128">
        <v>87280</v>
      </c>
      <c r="J128">
        <v>2.9</v>
      </c>
      <c r="K128">
        <v>3</v>
      </c>
      <c r="L128">
        <v>2</v>
      </c>
      <c r="M128">
        <v>10</v>
      </c>
      <c r="N128">
        <v>17</v>
      </c>
      <c r="O128" t="s">
        <v>57</v>
      </c>
    </row>
    <row r="129" spans="1:15" ht="15" customHeight="1" x14ac:dyDescent="0.3">
      <c r="A129">
        <f t="shared" si="1"/>
        <v>1128</v>
      </c>
      <c r="B129" t="s">
        <v>338</v>
      </c>
      <c r="C129" t="s">
        <v>75</v>
      </c>
      <c r="D129" t="s">
        <v>87</v>
      </c>
      <c r="E129" t="s">
        <v>54</v>
      </c>
      <c r="F129" t="s">
        <v>55</v>
      </c>
      <c r="G129" t="s">
        <v>339</v>
      </c>
      <c r="H129">
        <v>4.8</v>
      </c>
      <c r="I129">
        <v>50211</v>
      </c>
      <c r="J129">
        <v>4.3</v>
      </c>
      <c r="K129">
        <v>72</v>
      </c>
      <c r="L129">
        <v>19</v>
      </c>
      <c r="M129">
        <v>5</v>
      </c>
      <c r="N129">
        <v>2</v>
      </c>
      <c r="O129" t="s">
        <v>57</v>
      </c>
    </row>
    <row r="130" spans="1:15" ht="15" customHeight="1" x14ac:dyDescent="0.3">
      <c r="A130">
        <f t="shared" si="1"/>
        <v>1129</v>
      </c>
      <c r="B130" t="s">
        <v>340</v>
      </c>
      <c r="C130" t="s">
        <v>52</v>
      </c>
      <c r="D130" t="s">
        <v>53</v>
      </c>
      <c r="E130" t="s">
        <v>54</v>
      </c>
      <c r="F130" t="s">
        <v>55</v>
      </c>
      <c r="G130" t="s">
        <v>341</v>
      </c>
      <c r="H130">
        <v>5.3</v>
      </c>
      <c r="I130">
        <v>57519</v>
      </c>
      <c r="J130">
        <v>4.2</v>
      </c>
      <c r="K130">
        <v>62</v>
      </c>
      <c r="L130">
        <v>19</v>
      </c>
      <c r="M130">
        <v>8</v>
      </c>
      <c r="N130">
        <v>14</v>
      </c>
      <c r="O130" t="s">
        <v>57</v>
      </c>
    </row>
    <row r="131" spans="1:15" ht="15" customHeight="1" x14ac:dyDescent="0.3">
      <c r="A131">
        <f t="shared" ref="A131:A151" si="2">(A130+1)</f>
        <v>1130</v>
      </c>
      <c r="B131" t="s">
        <v>342</v>
      </c>
      <c r="C131" t="s">
        <v>75</v>
      </c>
      <c r="D131" t="s">
        <v>107</v>
      </c>
      <c r="E131" t="s">
        <v>77</v>
      </c>
      <c r="F131" t="s">
        <v>60</v>
      </c>
      <c r="G131" t="s">
        <v>343</v>
      </c>
      <c r="H131">
        <v>6.2</v>
      </c>
      <c r="I131">
        <v>69281</v>
      </c>
      <c r="J131">
        <v>4.2</v>
      </c>
      <c r="K131">
        <v>75</v>
      </c>
      <c r="L131">
        <v>15</v>
      </c>
      <c r="M131">
        <v>9</v>
      </c>
      <c r="N131">
        <v>22</v>
      </c>
      <c r="O131" t="s">
        <v>57</v>
      </c>
    </row>
    <row r="132" spans="1:15" ht="15" customHeight="1" x14ac:dyDescent="0.3">
      <c r="A132">
        <f t="shared" si="2"/>
        <v>1131</v>
      </c>
      <c r="B132" t="s">
        <v>344</v>
      </c>
      <c r="C132" t="s">
        <v>58</v>
      </c>
      <c r="D132" t="s">
        <v>70</v>
      </c>
      <c r="E132" t="s">
        <v>382</v>
      </c>
      <c r="F132" t="s">
        <v>55</v>
      </c>
      <c r="G132" t="s">
        <v>345</v>
      </c>
      <c r="H132">
        <v>6.8</v>
      </c>
      <c r="I132">
        <v>56698</v>
      </c>
      <c r="J132">
        <v>3.3</v>
      </c>
      <c r="K132">
        <v>27</v>
      </c>
      <c r="L132">
        <v>24</v>
      </c>
      <c r="M132">
        <v>6</v>
      </c>
      <c r="N132">
        <v>25</v>
      </c>
      <c r="O132" t="s">
        <v>57</v>
      </c>
    </row>
    <row r="133" spans="1:15" ht="15" customHeight="1" x14ac:dyDescent="0.3">
      <c r="A133">
        <f t="shared" si="2"/>
        <v>1132</v>
      </c>
      <c r="B133" t="s">
        <v>346</v>
      </c>
      <c r="C133" t="s">
        <v>90</v>
      </c>
      <c r="D133" t="s">
        <v>148</v>
      </c>
      <c r="E133" t="s">
        <v>64</v>
      </c>
      <c r="F133" t="s">
        <v>55</v>
      </c>
      <c r="G133" t="s">
        <v>347</v>
      </c>
      <c r="H133">
        <v>2.6</v>
      </c>
      <c r="I133">
        <v>84111</v>
      </c>
      <c r="J133">
        <v>2.9</v>
      </c>
      <c r="K133">
        <v>48</v>
      </c>
      <c r="L133">
        <v>17</v>
      </c>
      <c r="M133">
        <v>10</v>
      </c>
      <c r="N133">
        <v>8</v>
      </c>
      <c r="O133" t="s">
        <v>57</v>
      </c>
    </row>
    <row r="134" spans="1:15" ht="15" customHeight="1" x14ac:dyDescent="0.3">
      <c r="A134">
        <f t="shared" si="2"/>
        <v>1133</v>
      </c>
      <c r="B134" t="s">
        <v>348</v>
      </c>
      <c r="C134" t="s">
        <v>79</v>
      </c>
      <c r="D134" t="s">
        <v>123</v>
      </c>
      <c r="E134" t="s">
        <v>84</v>
      </c>
      <c r="F134" t="s">
        <v>60</v>
      </c>
      <c r="G134" t="s">
        <v>349</v>
      </c>
      <c r="H134">
        <v>6.6</v>
      </c>
      <c r="I134">
        <v>61294</v>
      </c>
      <c r="J134">
        <v>2.5</v>
      </c>
      <c r="K134">
        <v>9</v>
      </c>
      <c r="L134">
        <v>27</v>
      </c>
      <c r="M134">
        <v>7</v>
      </c>
      <c r="N134">
        <v>19</v>
      </c>
      <c r="O134" t="s">
        <v>57</v>
      </c>
    </row>
    <row r="135" spans="1:15" ht="15" customHeight="1" x14ac:dyDescent="0.3">
      <c r="A135">
        <f t="shared" si="2"/>
        <v>1134</v>
      </c>
      <c r="B135" t="s">
        <v>350</v>
      </c>
      <c r="C135" t="s">
        <v>75</v>
      </c>
      <c r="D135" t="s">
        <v>83</v>
      </c>
      <c r="E135" t="s">
        <v>64</v>
      </c>
      <c r="F135" t="s">
        <v>55</v>
      </c>
      <c r="G135" t="s">
        <v>351</v>
      </c>
      <c r="H135">
        <v>4.5999999999999996</v>
      </c>
      <c r="I135">
        <v>65683</v>
      </c>
      <c r="J135">
        <v>4.9000000000000004</v>
      </c>
      <c r="K135">
        <v>21</v>
      </c>
      <c r="L135">
        <v>25</v>
      </c>
      <c r="M135">
        <v>9</v>
      </c>
      <c r="N135">
        <v>15</v>
      </c>
      <c r="O135" t="s">
        <v>57</v>
      </c>
    </row>
    <row r="136" spans="1:15" ht="15" customHeight="1" x14ac:dyDescent="0.3">
      <c r="A136">
        <f t="shared" si="2"/>
        <v>1135</v>
      </c>
      <c r="B136" t="s">
        <v>352</v>
      </c>
      <c r="C136" t="s">
        <v>79</v>
      </c>
      <c r="D136" t="s">
        <v>167</v>
      </c>
      <c r="E136" t="s">
        <v>77</v>
      </c>
      <c r="F136" t="s">
        <v>60</v>
      </c>
      <c r="G136" t="s">
        <v>312</v>
      </c>
      <c r="H136">
        <v>5.5</v>
      </c>
      <c r="I136">
        <v>57276</v>
      </c>
      <c r="J136">
        <v>4</v>
      </c>
      <c r="K136">
        <v>67</v>
      </c>
      <c r="L136">
        <v>2</v>
      </c>
      <c r="M136">
        <v>8</v>
      </c>
      <c r="N136">
        <v>10</v>
      </c>
      <c r="O136" t="s">
        <v>57</v>
      </c>
    </row>
    <row r="137" spans="1:15" ht="15" customHeight="1" x14ac:dyDescent="0.3">
      <c r="A137">
        <f t="shared" si="2"/>
        <v>1136</v>
      </c>
      <c r="B137" t="s">
        <v>353</v>
      </c>
      <c r="C137" t="s">
        <v>96</v>
      </c>
      <c r="D137" t="s">
        <v>120</v>
      </c>
      <c r="E137" t="s">
        <v>77</v>
      </c>
      <c r="F137" t="s">
        <v>55</v>
      </c>
      <c r="G137" t="s">
        <v>354</v>
      </c>
      <c r="H137">
        <v>6.4</v>
      </c>
      <c r="I137">
        <v>49727</v>
      </c>
      <c r="J137">
        <v>4.0999999999999996</v>
      </c>
      <c r="K137">
        <v>67</v>
      </c>
      <c r="L137">
        <v>16</v>
      </c>
      <c r="M137">
        <v>6</v>
      </c>
      <c r="N137">
        <v>25</v>
      </c>
      <c r="O137" t="s">
        <v>57</v>
      </c>
    </row>
    <row r="138" spans="1:15" ht="15" customHeight="1" x14ac:dyDescent="0.3">
      <c r="A138">
        <f t="shared" si="2"/>
        <v>1137</v>
      </c>
      <c r="B138" t="s">
        <v>355</v>
      </c>
      <c r="C138" t="s">
        <v>90</v>
      </c>
      <c r="D138" t="s">
        <v>91</v>
      </c>
      <c r="E138" t="s">
        <v>84</v>
      </c>
      <c r="F138" t="s">
        <v>60</v>
      </c>
      <c r="G138" t="s">
        <v>356</v>
      </c>
      <c r="H138">
        <v>5.4</v>
      </c>
      <c r="I138">
        <v>46464</v>
      </c>
      <c r="J138">
        <v>2.9</v>
      </c>
      <c r="K138">
        <v>19</v>
      </c>
      <c r="L138">
        <v>24</v>
      </c>
      <c r="M138">
        <v>10</v>
      </c>
      <c r="N138">
        <v>3</v>
      </c>
      <c r="O138" t="s">
        <v>57</v>
      </c>
    </row>
    <row r="139" spans="1:15" ht="15" customHeight="1" x14ac:dyDescent="0.3">
      <c r="A139">
        <f t="shared" si="2"/>
        <v>1138</v>
      </c>
      <c r="B139" t="s">
        <v>357</v>
      </c>
      <c r="C139" t="s">
        <v>96</v>
      </c>
      <c r="D139" t="s">
        <v>382</v>
      </c>
      <c r="E139" t="s">
        <v>64</v>
      </c>
      <c r="F139" t="s">
        <v>55</v>
      </c>
      <c r="G139" t="s">
        <v>358</v>
      </c>
      <c r="H139">
        <v>2.6</v>
      </c>
      <c r="I139">
        <v>68988</v>
      </c>
      <c r="J139">
        <v>3.6</v>
      </c>
      <c r="K139">
        <v>72</v>
      </c>
      <c r="L139">
        <v>20</v>
      </c>
      <c r="M139">
        <v>10</v>
      </c>
      <c r="N139">
        <v>20</v>
      </c>
      <c r="O139" t="s">
        <v>57</v>
      </c>
    </row>
    <row r="140" spans="1:15" ht="15" customHeight="1" x14ac:dyDescent="0.3">
      <c r="A140">
        <f t="shared" si="2"/>
        <v>1139</v>
      </c>
      <c r="B140" t="s">
        <v>359</v>
      </c>
      <c r="C140" t="s">
        <v>79</v>
      </c>
      <c r="D140" t="s">
        <v>167</v>
      </c>
      <c r="E140" t="s">
        <v>64</v>
      </c>
      <c r="F140" t="s">
        <v>60</v>
      </c>
      <c r="G140" t="s">
        <v>360</v>
      </c>
      <c r="H140">
        <v>4.2</v>
      </c>
      <c r="I140">
        <v>57490</v>
      </c>
      <c r="J140">
        <v>4.0999999999999996</v>
      </c>
      <c r="K140">
        <v>35</v>
      </c>
      <c r="L140">
        <v>18</v>
      </c>
      <c r="M140">
        <v>5</v>
      </c>
      <c r="N140">
        <v>12</v>
      </c>
      <c r="O140" t="s">
        <v>57</v>
      </c>
    </row>
    <row r="141" spans="1:15" ht="15" customHeight="1" x14ac:dyDescent="0.3">
      <c r="A141">
        <f t="shared" si="2"/>
        <v>1140</v>
      </c>
      <c r="B141" t="s">
        <v>361</v>
      </c>
      <c r="C141" t="s">
        <v>79</v>
      </c>
      <c r="D141" t="s">
        <v>167</v>
      </c>
      <c r="E141" t="s">
        <v>84</v>
      </c>
      <c r="F141" t="s">
        <v>60</v>
      </c>
      <c r="G141" t="s">
        <v>362</v>
      </c>
      <c r="H141">
        <v>6.5</v>
      </c>
      <c r="I141">
        <v>55082</v>
      </c>
      <c r="J141">
        <v>4.5999999999999996</v>
      </c>
      <c r="K141">
        <v>9</v>
      </c>
      <c r="L141">
        <v>20</v>
      </c>
      <c r="M141">
        <v>5</v>
      </c>
      <c r="N141">
        <v>20</v>
      </c>
      <c r="O141" t="s">
        <v>57</v>
      </c>
    </row>
    <row r="142" spans="1:15" ht="15" customHeight="1" x14ac:dyDescent="0.3">
      <c r="A142">
        <f t="shared" si="2"/>
        <v>1141</v>
      </c>
      <c r="B142" t="s">
        <v>363</v>
      </c>
      <c r="C142" t="s">
        <v>58</v>
      </c>
      <c r="D142" t="s">
        <v>212</v>
      </c>
      <c r="E142" t="s">
        <v>54</v>
      </c>
      <c r="F142" t="s">
        <v>55</v>
      </c>
      <c r="G142" t="s">
        <v>364</v>
      </c>
      <c r="H142">
        <v>2.4</v>
      </c>
      <c r="I142">
        <v>86344</v>
      </c>
      <c r="J142">
        <v>3.6</v>
      </c>
      <c r="K142">
        <v>73</v>
      </c>
      <c r="L142">
        <v>20</v>
      </c>
      <c r="M142">
        <v>6</v>
      </c>
      <c r="N142">
        <v>11</v>
      </c>
      <c r="O142" t="s">
        <v>57</v>
      </c>
    </row>
    <row r="143" spans="1:15" ht="15" customHeight="1" x14ac:dyDescent="0.3">
      <c r="A143">
        <f t="shared" si="2"/>
        <v>1142</v>
      </c>
      <c r="B143" t="s">
        <v>365</v>
      </c>
      <c r="C143" t="s">
        <v>90</v>
      </c>
      <c r="D143" t="s">
        <v>148</v>
      </c>
      <c r="E143" t="s">
        <v>84</v>
      </c>
      <c r="F143" t="s">
        <v>60</v>
      </c>
      <c r="G143" t="s">
        <v>366</v>
      </c>
      <c r="H143">
        <v>6.2</v>
      </c>
      <c r="I143">
        <v>81253</v>
      </c>
      <c r="J143">
        <v>5</v>
      </c>
      <c r="K143">
        <v>10</v>
      </c>
      <c r="L143">
        <v>16</v>
      </c>
      <c r="M143">
        <v>10</v>
      </c>
      <c r="N143">
        <v>6</v>
      </c>
      <c r="O143" t="s">
        <v>118</v>
      </c>
    </row>
    <row r="144" spans="1:15" ht="15" customHeight="1" x14ac:dyDescent="0.3">
      <c r="A144">
        <f t="shared" si="2"/>
        <v>1143</v>
      </c>
      <c r="B144" t="s">
        <v>367</v>
      </c>
      <c r="C144" t="s">
        <v>58</v>
      </c>
      <c r="D144" t="s">
        <v>212</v>
      </c>
      <c r="E144" t="s">
        <v>54</v>
      </c>
      <c r="F144" t="s">
        <v>55</v>
      </c>
      <c r="G144" t="s">
        <v>368</v>
      </c>
      <c r="H144">
        <v>3.4</v>
      </c>
      <c r="I144">
        <v>90201</v>
      </c>
      <c r="J144">
        <v>3.4</v>
      </c>
      <c r="K144">
        <v>36</v>
      </c>
      <c r="L144">
        <v>12</v>
      </c>
      <c r="M144">
        <v>8</v>
      </c>
      <c r="N144">
        <v>25</v>
      </c>
      <c r="O144" t="s">
        <v>57</v>
      </c>
    </row>
    <row r="145" spans="1:15" ht="15" customHeight="1" x14ac:dyDescent="0.3">
      <c r="A145">
        <f t="shared" si="2"/>
        <v>1144</v>
      </c>
      <c r="B145" t="s">
        <v>369</v>
      </c>
      <c r="C145" t="s">
        <v>96</v>
      </c>
      <c r="D145" t="s">
        <v>97</v>
      </c>
      <c r="E145" t="s">
        <v>54</v>
      </c>
      <c r="F145" t="s">
        <v>55</v>
      </c>
      <c r="G145" t="s">
        <v>370</v>
      </c>
      <c r="H145">
        <v>3.2</v>
      </c>
      <c r="I145">
        <v>60965</v>
      </c>
      <c r="J145">
        <v>2.7</v>
      </c>
      <c r="K145">
        <v>12</v>
      </c>
      <c r="L145">
        <v>17</v>
      </c>
      <c r="M145">
        <v>10</v>
      </c>
      <c r="N145">
        <v>13</v>
      </c>
      <c r="O145" t="s">
        <v>57</v>
      </c>
    </row>
    <row r="146" spans="1:15" ht="15" customHeight="1" x14ac:dyDescent="0.3">
      <c r="A146">
        <f t="shared" si="2"/>
        <v>1145</v>
      </c>
      <c r="B146" t="s">
        <v>382</v>
      </c>
      <c r="C146" t="s">
        <v>75</v>
      </c>
      <c r="D146" t="s">
        <v>83</v>
      </c>
      <c r="E146" t="s">
        <v>77</v>
      </c>
      <c r="F146" t="s">
        <v>55</v>
      </c>
      <c r="G146" t="s">
        <v>371</v>
      </c>
      <c r="H146">
        <v>3.6</v>
      </c>
      <c r="I146">
        <v>69634</v>
      </c>
      <c r="J146">
        <v>4.8</v>
      </c>
      <c r="K146">
        <v>39</v>
      </c>
      <c r="L146">
        <v>30</v>
      </c>
      <c r="M146">
        <v>10</v>
      </c>
      <c r="N146">
        <v>23</v>
      </c>
      <c r="O146" t="s">
        <v>57</v>
      </c>
    </row>
    <row r="147" spans="1:15" ht="15" customHeight="1" x14ac:dyDescent="0.3">
      <c r="A147">
        <f t="shared" si="2"/>
        <v>1146</v>
      </c>
      <c r="B147" t="s">
        <v>372</v>
      </c>
      <c r="C147" t="s">
        <v>75</v>
      </c>
      <c r="D147" t="s">
        <v>107</v>
      </c>
      <c r="E147" t="s">
        <v>64</v>
      </c>
      <c r="F147" t="s">
        <v>55</v>
      </c>
      <c r="G147" t="s">
        <v>373</v>
      </c>
      <c r="H147">
        <v>3.2</v>
      </c>
      <c r="I147">
        <v>70763</v>
      </c>
      <c r="J147">
        <v>4.5</v>
      </c>
      <c r="K147">
        <v>67</v>
      </c>
      <c r="L147">
        <v>2</v>
      </c>
      <c r="M147">
        <v>10</v>
      </c>
      <c r="N147">
        <v>22</v>
      </c>
      <c r="O147" t="s">
        <v>57</v>
      </c>
    </row>
    <row r="148" spans="1:15" ht="15" customHeight="1" x14ac:dyDescent="0.3">
      <c r="A148">
        <f t="shared" si="2"/>
        <v>1147</v>
      </c>
      <c r="B148" t="s">
        <v>374</v>
      </c>
      <c r="C148" t="s">
        <v>75</v>
      </c>
      <c r="D148" t="s">
        <v>76</v>
      </c>
      <c r="E148" t="s">
        <v>64</v>
      </c>
      <c r="F148" t="s">
        <v>55</v>
      </c>
      <c r="G148" t="s">
        <v>375</v>
      </c>
      <c r="H148">
        <v>5.8</v>
      </c>
      <c r="I148">
        <v>97018</v>
      </c>
      <c r="J148">
        <v>3.4</v>
      </c>
      <c r="K148">
        <v>62</v>
      </c>
      <c r="L148">
        <v>6</v>
      </c>
      <c r="M148">
        <v>6</v>
      </c>
      <c r="N148">
        <v>5</v>
      </c>
      <c r="O148" t="s">
        <v>57</v>
      </c>
    </row>
    <row r="149" spans="1:15" ht="15" customHeight="1" x14ac:dyDescent="0.3">
      <c r="A149">
        <f t="shared" si="2"/>
        <v>1148</v>
      </c>
      <c r="B149" t="s">
        <v>376</v>
      </c>
      <c r="C149" t="s">
        <v>58</v>
      </c>
      <c r="D149" t="s">
        <v>212</v>
      </c>
      <c r="E149" t="s">
        <v>77</v>
      </c>
      <c r="F149" t="s">
        <v>55</v>
      </c>
      <c r="G149" t="s">
        <v>377</v>
      </c>
      <c r="H149">
        <v>2.1</v>
      </c>
      <c r="I149">
        <v>102253</v>
      </c>
      <c r="J149">
        <v>2.6</v>
      </c>
      <c r="K149">
        <v>43</v>
      </c>
      <c r="L149">
        <v>28</v>
      </c>
      <c r="M149">
        <v>9</v>
      </c>
      <c r="N149">
        <v>5</v>
      </c>
      <c r="O149" t="s">
        <v>57</v>
      </c>
    </row>
    <row r="150" spans="1:15" ht="15" customHeight="1" x14ac:dyDescent="0.3">
      <c r="A150">
        <f t="shared" si="2"/>
        <v>1149</v>
      </c>
      <c r="B150" t="s">
        <v>378</v>
      </c>
      <c r="C150" t="s">
        <v>382</v>
      </c>
      <c r="D150" t="s">
        <v>114</v>
      </c>
      <c r="E150" t="s">
        <v>84</v>
      </c>
      <c r="F150" t="s">
        <v>60</v>
      </c>
      <c r="G150" t="s">
        <v>149</v>
      </c>
      <c r="H150">
        <v>2.5</v>
      </c>
      <c r="I150">
        <v>130424</v>
      </c>
      <c r="J150">
        <v>4.3</v>
      </c>
      <c r="K150">
        <v>5</v>
      </c>
      <c r="L150">
        <v>13</v>
      </c>
      <c r="M150">
        <v>7</v>
      </c>
      <c r="N150">
        <v>22</v>
      </c>
      <c r="O150" t="s">
        <v>57</v>
      </c>
    </row>
    <row r="151" spans="1:15" ht="15" customHeight="1" x14ac:dyDescent="0.3">
      <c r="A151">
        <f t="shared" si="2"/>
        <v>1150</v>
      </c>
      <c r="B151" t="s">
        <v>379</v>
      </c>
      <c r="C151" t="s">
        <v>96</v>
      </c>
      <c r="D151" t="s">
        <v>97</v>
      </c>
      <c r="E151" t="s">
        <v>54</v>
      </c>
      <c r="F151" t="s">
        <v>60</v>
      </c>
      <c r="G151" t="s">
        <v>380</v>
      </c>
      <c r="H151">
        <v>2.4</v>
      </c>
      <c r="I151">
        <v>64710</v>
      </c>
      <c r="J151">
        <v>3.1</v>
      </c>
      <c r="K151">
        <v>30</v>
      </c>
      <c r="L151">
        <v>9</v>
      </c>
      <c r="M151">
        <v>8</v>
      </c>
      <c r="N151">
        <v>7</v>
      </c>
      <c r="O151" t="s">
        <v>57</v>
      </c>
    </row>
    <row r="152" spans="1:15" x14ac:dyDescent="0.3">
      <c r="A152">
        <f>(A151+1)</f>
        <v>1151</v>
      </c>
      <c r="B152" t="s">
        <v>381</v>
      </c>
      <c r="C152" t="s">
        <v>52</v>
      </c>
      <c r="D152" t="s">
        <v>53</v>
      </c>
      <c r="E152" t="s">
        <v>54</v>
      </c>
      <c r="F152" t="s">
        <v>382</v>
      </c>
      <c r="G152" t="s">
        <v>56</v>
      </c>
      <c r="H152">
        <v>6.7</v>
      </c>
      <c r="I152">
        <v>52012</v>
      </c>
      <c r="J152">
        <v>3.1</v>
      </c>
      <c r="K152">
        <v>17</v>
      </c>
      <c r="L152">
        <v>23</v>
      </c>
      <c r="M152">
        <v>5</v>
      </c>
      <c r="N152">
        <v>22</v>
      </c>
      <c r="O152" t="s">
        <v>57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4"/>
  <sheetViews>
    <sheetView zoomScaleNormal="100" workbookViewId="0">
      <selection activeCell="E16" sqref="E16"/>
    </sheetView>
  </sheetViews>
  <sheetFormatPr defaultColWidth="8.6640625" defaultRowHeight="14.4" x14ac:dyDescent="0.3"/>
  <cols>
    <col min="1" max="1" width="30" customWidth="1"/>
    <col min="2" max="2" width="22.44140625" customWidth="1"/>
    <col min="3" max="3" width="25" customWidth="1"/>
    <col min="6" max="6" width="27.109375" bestFit="1" customWidth="1"/>
  </cols>
  <sheetData>
    <row r="1" spans="1:3" ht="19.5" customHeight="1" x14ac:dyDescent="0.35">
      <c r="A1" s="28" t="s">
        <v>386</v>
      </c>
      <c r="B1" s="28"/>
      <c r="C1" s="28"/>
    </row>
    <row r="3" spans="1:3" ht="15" customHeight="1" x14ac:dyDescent="0.3">
      <c r="A3" s="29" t="s">
        <v>387</v>
      </c>
      <c r="B3" s="29"/>
      <c r="C3" s="29"/>
    </row>
    <row r="5" spans="1:3" ht="15" customHeight="1" x14ac:dyDescent="0.3">
      <c r="A5" t="s">
        <v>388</v>
      </c>
      <c r="B5" s="9">
        <f>COUNTA('Clean Data'!A2:A152)</f>
        <v>151</v>
      </c>
      <c r="C5" s="9" t="s">
        <v>389</v>
      </c>
    </row>
    <row r="6" spans="1:3" ht="15" customHeight="1" x14ac:dyDescent="0.3">
      <c r="A6" t="s">
        <v>390</v>
      </c>
      <c r="B6" s="9">
        <f>COUNTIF('Clean Data'!O2:O152,"Active")</f>
        <v>128</v>
      </c>
      <c r="C6" s="9"/>
    </row>
    <row r="7" spans="1:3" ht="15" customHeight="1" x14ac:dyDescent="0.3">
      <c r="A7" t="s">
        <v>391</v>
      </c>
      <c r="B7" s="9">
        <f>COUNTIF('Clean Data'!O2:O152,"Left")</f>
        <v>22</v>
      </c>
      <c r="C7" s="9"/>
    </row>
    <row r="8" spans="1:3" ht="15" customHeight="1" x14ac:dyDescent="0.3">
      <c r="A8" t="s">
        <v>392</v>
      </c>
      <c r="B8" s="23">
        <f>B7/B5</f>
        <v>0.14569536423841059</v>
      </c>
      <c r="C8" s="9" t="s">
        <v>393</v>
      </c>
    </row>
    <row r="9" spans="1:3" ht="15" customHeight="1" x14ac:dyDescent="0.3">
      <c r="A9" t="s">
        <v>394</v>
      </c>
      <c r="B9" s="24">
        <f>AVERAGE('Clean Data'!I2:I152)</f>
        <v>71530.569536423835</v>
      </c>
      <c r="C9" s="9" t="s">
        <v>395</v>
      </c>
    </row>
    <row r="10" spans="1:3" ht="15" customHeight="1" x14ac:dyDescent="0.3">
      <c r="A10" t="s">
        <v>396</v>
      </c>
      <c r="B10" s="24">
        <f>MEDIAN('Clean Data'!I2:I152)</f>
        <v>65683</v>
      </c>
      <c r="C10" s="9"/>
    </row>
    <row r="11" spans="1:3" ht="15" customHeight="1" x14ac:dyDescent="0.3">
      <c r="A11" t="s">
        <v>397</v>
      </c>
      <c r="B11" s="24">
        <f>MAX('Clean Data'!I2:I152)</f>
        <v>143711</v>
      </c>
      <c r="C11" s="9"/>
    </row>
    <row r="12" spans="1:3" ht="15" customHeight="1" x14ac:dyDescent="0.3">
      <c r="A12" t="s">
        <v>398</v>
      </c>
      <c r="B12" s="24">
        <f>MIN('Clean Data'!I2:I152)</f>
        <v>34965</v>
      </c>
      <c r="C12" s="9" t="s">
        <v>395</v>
      </c>
    </row>
    <row r="13" spans="1:3" ht="15" customHeight="1" x14ac:dyDescent="0.3">
      <c r="A13" t="s">
        <v>399</v>
      </c>
      <c r="B13" s="25">
        <f>AVERAGE('Clean Data'!H2:H152)</f>
        <v>4.2940397350993385</v>
      </c>
      <c r="C13" s="9" t="s">
        <v>400</v>
      </c>
    </row>
    <row r="14" spans="1:3" ht="15" customHeight="1" x14ac:dyDescent="0.3">
      <c r="A14" t="s">
        <v>401</v>
      </c>
      <c r="B14" s="25">
        <f>AVERAGE('Clean Data'!J2:J152)</f>
        <v>3.7470198675496693</v>
      </c>
      <c r="C14" s="9" t="s">
        <v>402</v>
      </c>
    </row>
    <row r="15" spans="1:3" ht="15" customHeight="1" x14ac:dyDescent="0.3">
      <c r="A15" t="s">
        <v>403</v>
      </c>
      <c r="B15" s="25">
        <f>AVERAGE('Clean Data'!M2:M152)</f>
        <v>7.6821192052980134</v>
      </c>
      <c r="C15" s="9" t="s">
        <v>404</v>
      </c>
    </row>
    <row r="16" spans="1:3" ht="15" customHeight="1" x14ac:dyDescent="0.3">
      <c r="A16" t="s">
        <v>399</v>
      </c>
      <c r="B16" s="9">
        <f>AVERAGE('Clean Data'!H2:H152)</f>
        <v>4.2940397350993385</v>
      </c>
      <c r="C16" s="9" t="s">
        <v>400</v>
      </c>
    </row>
    <row r="17" spans="1:3" ht="15" customHeight="1" x14ac:dyDescent="0.3"/>
    <row r="18" spans="1:3" ht="15" customHeight="1" x14ac:dyDescent="0.3">
      <c r="A18" s="5" t="s">
        <v>405</v>
      </c>
      <c r="B18" s="26"/>
      <c r="C18" s="26"/>
    </row>
    <row r="19" spans="1:3" ht="15" customHeight="1" x14ac:dyDescent="0.3">
      <c r="A19" t="s">
        <v>406</v>
      </c>
      <c r="B19" s="9">
        <f>COUNTIF('Clean Data'!C2:C152,"Sales")</f>
        <v>22</v>
      </c>
      <c r="C19" s="9"/>
    </row>
    <row r="20" spans="1:3" ht="15" customHeight="1" x14ac:dyDescent="0.3">
      <c r="A20" t="s">
        <v>407</v>
      </c>
      <c r="B20" s="37">
        <f>AVERAGEIF('Clean Data'!C2:C152,"Sales",'Clean Data'!I2:I152)</f>
        <v>84279.136363636368</v>
      </c>
      <c r="C20" s="9"/>
    </row>
    <row r="21" spans="1:3" ht="15" customHeight="1" x14ac:dyDescent="0.3">
      <c r="A21" t="s">
        <v>408</v>
      </c>
      <c r="B21" s="9">
        <f>COUNTIF('Clean Data'!C2:C152,"IT")</f>
        <v>21</v>
      </c>
      <c r="C21" s="9"/>
    </row>
    <row r="22" spans="1:3" ht="15" customHeight="1" x14ac:dyDescent="0.3">
      <c r="A22" t="s">
        <v>409</v>
      </c>
      <c r="B22" s="37">
        <f>AVERAGEIF('Clean Data'!C2:C152,"IT",'Clean Data'!I2:I152)</f>
        <v>69426.71428571429</v>
      </c>
      <c r="C22" s="9"/>
    </row>
    <row r="23" spans="1:3" ht="15" customHeight="1" x14ac:dyDescent="0.3">
      <c r="A23" t="s">
        <v>410</v>
      </c>
      <c r="B23" s="9">
        <f>COUNTIF('Clean Data'!C2:C152,"HR")</f>
        <v>27</v>
      </c>
      <c r="C23" s="9"/>
    </row>
    <row r="24" spans="1:3" ht="15" customHeight="1" x14ac:dyDescent="0.3">
      <c r="A24" t="s">
        <v>411</v>
      </c>
      <c r="B24" s="37">
        <f>AVERAGEIF('Clean Data'!C2:C152,"HR",'Clean Data'!I2:I152)</f>
        <v>63286.555555555555</v>
      </c>
      <c r="C24" s="9"/>
    </row>
    <row r="25" spans="1:3" x14ac:dyDescent="0.3">
      <c r="B25" s="9"/>
      <c r="C25" s="9"/>
    </row>
    <row r="26" spans="1:3" ht="15" customHeight="1" x14ac:dyDescent="0.3">
      <c r="A26" s="5" t="s">
        <v>412</v>
      </c>
      <c r="B26" s="26"/>
      <c r="C26" s="26"/>
    </row>
    <row r="27" spans="1:3" ht="15" customHeight="1" x14ac:dyDescent="0.3">
      <c r="A27" t="s">
        <v>413</v>
      </c>
      <c r="B27" s="9">
        <f>COUNTIF('Clean Data'!J2:J152,"&gt;4")</f>
        <v>61</v>
      </c>
      <c r="C27" s="9" t="s">
        <v>414</v>
      </c>
    </row>
    <row r="28" spans="1:3" ht="15" customHeight="1" x14ac:dyDescent="0.3">
      <c r="A28" t="s">
        <v>415</v>
      </c>
      <c r="B28" s="9">
        <f>COUNTIFS('Clean Data'!J2:J152,"&gt;=3",'Clean Data'!J2:J152,"&lt;=4")</f>
        <v>64</v>
      </c>
      <c r="C28" s="9"/>
    </row>
    <row r="29" spans="1:3" ht="15" customHeight="1" x14ac:dyDescent="0.3">
      <c r="A29" t="s">
        <v>416</v>
      </c>
      <c r="B29" s="9">
        <f>COUNTIF('Clean Data'!J2:J152,"&lt;3")</f>
        <v>26</v>
      </c>
      <c r="C29" s="9" t="s">
        <v>417</v>
      </c>
    </row>
    <row r="30" spans="1:3" x14ac:dyDescent="0.3">
      <c r="B30" s="9"/>
      <c r="C30" s="9"/>
    </row>
    <row r="31" spans="1:3" ht="15" customHeight="1" x14ac:dyDescent="0.3">
      <c r="A31" s="5" t="s">
        <v>418</v>
      </c>
      <c r="B31" s="26"/>
      <c r="C31" s="26"/>
    </row>
    <row r="32" spans="1:3" ht="15" customHeight="1" x14ac:dyDescent="0.3">
      <c r="A32" t="s">
        <v>419</v>
      </c>
      <c r="B32" s="9">
        <f>SUM('Clean Data'!K2:K152)</f>
        <v>6098</v>
      </c>
      <c r="C32" s="9"/>
    </row>
    <row r="33" spans="1:3" ht="15" customHeight="1" x14ac:dyDescent="0.3">
      <c r="A33" t="s">
        <v>420</v>
      </c>
      <c r="B33" s="37">
        <f>AVERAGE('Clean Data'!K2:K152)</f>
        <v>40.384105960264904</v>
      </c>
      <c r="C33" s="9" t="s">
        <v>421</v>
      </c>
    </row>
    <row r="34" spans="1:3" ht="15" customHeight="1" x14ac:dyDescent="0.3">
      <c r="A34" t="s">
        <v>422</v>
      </c>
      <c r="B34" s="9">
        <f>COUNTIF('Clean Data'!K2:K152,"&gt;50")</f>
        <v>57</v>
      </c>
      <c r="C34" s="9" t="s">
        <v>423</v>
      </c>
    </row>
    <row r="35" spans="1:3" x14ac:dyDescent="0.3">
      <c r="B35" s="9"/>
      <c r="C35" s="9"/>
    </row>
    <row r="36" spans="1:3" ht="15" customHeight="1" x14ac:dyDescent="0.3">
      <c r="A36" s="5" t="s">
        <v>424</v>
      </c>
      <c r="B36" s="26"/>
      <c r="C36" s="26"/>
    </row>
    <row r="37" spans="1:3" ht="15" customHeight="1" x14ac:dyDescent="0.3">
      <c r="A37" t="s">
        <v>425</v>
      </c>
      <c r="B37" s="9">
        <f>COUNTIF('Clean Data'!F2:F152,"Male")</f>
        <v>76</v>
      </c>
      <c r="C37" s="9"/>
    </row>
    <row r="38" spans="1:3" ht="15" customHeight="1" x14ac:dyDescent="0.3">
      <c r="A38" t="s">
        <v>426</v>
      </c>
      <c r="B38" s="9">
        <f>COUNTIF('Clean Data'!F2:F152,"Female")</f>
        <v>73</v>
      </c>
      <c r="C38" s="9"/>
    </row>
    <row r="39" spans="1:3" ht="15" customHeight="1" x14ac:dyDescent="0.3">
      <c r="A39" t="s">
        <v>427</v>
      </c>
      <c r="B39" s="27">
        <f>B38/B37</f>
        <v>0.96052631578947367</v>
      </c>
      <c r="C39" s="9"/>
    </row>
    <row r="40" spans="1:3" x14ac:dyDescent="0.3">
      <c r="B40" s="9"/>
      <c r="C40" s="9"/>
    </row>
    <row r="41" spans="1:3" ht="15" customHeight="1" x14ac:dyDescent="0.3">
      <c r="A41" s="5" t="s">
        <v>428</v>
      </c>
      <c r="B41" s="26"/>
      <c r="C41" s="26"/>
    </row>
    <row r="42" spans="1:3" ht="15" customHeight="1" x14ac:dyDescent="0.3">
      <c r="A42" t="s">
        <v>429</v>
      </c>
      <c r="B42" s="9">
        <f>COUNTIF('Clean Data'!E2:E152,"Remote")</f>
        <v>40</v>
      </c>
      <c r="C42" s="9"/>
    </row>
    <row r="43" spans="1:3" ht="15" customHeight="1" x14ac:dyDescent="0.3">
      <c r="A43" t="s">
        <v>430</v>
      </c>
      <c r="B43" s="9">
        <f>B5-B42</f>
        <v>111</v>
      </c>
      <c r="C43" s="9" t="s">
        <v>431</v>
      </c>
    </row>
    <row r="44" spans="1:3" ht="15" customHeight="1" x14ac:dyDescent="0.3">
      <c r="A44" t="s">
        <v>432</v>
      </c>
      <c r="B44" s="23">
        <f>B42/B5</f>
        <v>0.26490066225165565</v>
      </c>
      <c r="C44" s="9"/>
    </row>
  </sheetData>
  <mergeCells count="2">
    <mergeCell ref="A1:C1"/>
    <mergeCell ref="A3:C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D2C9-A804-4E3C-8E74-647CD9EA3CB4}">
  <dimension ref="A1:E28"/>
  <sheetViews>
    <sheetView workbookViewId="0">
      <selection activeCell="A25" sqref="A25"/>
    </sheetView>
  </sheetViews>
  <sheetFormatPr defaultRowHeight="14.4" x14ac:dyDescent="0.3"/>
  <cols>
    <col min="1" max="1" width="21.44140625" bestFit="1" customWidth="1"/>
    <col min="2" max="2" width="20.109375" bestFit="1" customWidth="1"/>
    <col min="3" max="3" width="23" bestFit="1" customWidth="1"/>
    <col min="4" max="4" width="24.6640625" bestFit="1" customWidth="1"/>
    <col min="5" max="5" width="23.5546875" bestFit="1" customWidth="1"/>
  </cols>
  <sheetData>
    <row r="1" spans="1:5" ht="17.399999999999999" x14ac:dyDescent="0.3">
      <c r="A1" s="30" t="s">
        <v>433</v>
      </c>
      <c r="B1" s="30"/>
      <c r="C1" s="30"/>
      <c r="D1" s="30"/>
      <c r="E1" s="30"/>
    </row>
    <row r="2" spans="1:5" x14ac:dyDescent="0.3">
      <c r="A2" s="41" t="s">
        <v>12</v>
      </c>
      <c r="B2" s="41" t="s">
        <v>434</v>
      </c>
      <c r="C2" s="41" t="s">
        <v>447</v>
      </c>
      <c r="D2" s="41" t="s">
        <v>446</v>
      </c>
      <c r="E2" s="41" t="s">
        <v>445</v>
      </c>
    </row>
    <row r="3" spans="1:5" x14ac:dyDescent="0.3">
      <c r="A3" s="9" t="s">
        <v>96</v>
      </c>
      <c r="B3" s="39">
        <v>22</v>
      </c>
      <c r="C3" s="43">
        <v>56661</v>
      </c>
      <c r="D3" s="40">
        <v>3.6136363636363629</v>
      </c>
      <c r="E3" s="40">
        <v>7.7272727272727275</v>
      </c>
    </row>
    <row r="4" spans="1:5" x14ac:dyDescent="0.3">
      <c r="A4" s="9" t="s">
        <v>58</v>
      </c>
      <c r="B4" s="39">
        <v>22</v>
      </c>
      <c r="C4" s="43">
        <v>73125.272727272721</v>
      </c>
      <c r="D4" s="40">
        <v>3.5136363636363641</v>
      </c>
      <c r="E4" s="40">
        <v>7.2727272727272725</v>
      </c>
    </row>
    <row r="5" spans="1:5" x14ac:dyDescent="0.3">
      <c r="A5" s="9" t="s">
        <v>79</v>
      </c>
      <c r="B5" s="39">
        <v>27</v>
      </c>
      <c r="C5" s="43">
        <v>63286.555555555555</v>
      </c>
      <c r="D5" s="40">
        <v>3.7296296296296285</v>
      </c>
      <c r="E5" s="40">
        <v>7.5555555555555554</v>
      </c>
    </row>
    <row r="6" spans="1:5" x14ac:dyDescent="0.3">
      <c r="A6" s="9" t="s">
        <v>75</v>
      </c>
      <c r="B6" s="39">
        <v>21</v>
      </c>
      <c r="C6" s="43">
        <v>69426.71428571429</v>
      </c>
      <c r="D6" s="40">
        <v>4.0809523809523816</v>
      </c>
      <c r="E6" s="40">
        <v>8.0476190476190474</v>
      </c>
    </row>
    <row r="7" spans="1:5" x14ac:dyDescent="0.3">
      <c r="A7" s="9" t="s">
        <v>67</v>
      </c>
      <c r="B7" s="39">
        <v>15</v>
      </c>
      <c r="C7" s="43">
        <v>90822.333333333328</v>
      </c>
      <c r="D7" s="40">
        <v>4.1866666666666665</v>
      </c>
      <c r="E7" s="40">
        <v>7.666666666666667</v>
      </c>
    </row>
    <row r="8" spans="1:5" x14ac:dyDescent="0.3">
      <c r="A8" s="9" t="s">
        <v>52</v>
      </c>
      <c r="B8" s="39">
        <v>19</v>
      </c>
      <c r="C8" s="43">
        <v>68661.210526315786</v>
      </c>
      <c r="D8" s="40">
        <v>3.426315789473684</v>
      </c>
      <c r="E8" s="40">
        <v>6.6842105263157894</v>
      </c>
    </row>
    <row r="9" spans="1:5" x14ac:dyDescent="0.3">
      <c r="A9" s="9" t="s">
        <v>90</v>
      </c>
      <c r="B9" s="39">
        <v>22</v>
      </c>
      <c r="C9" s="43">
        <v>84279.136363636368</v>
      </c>
      <c r="D9" s="40">
        <v>3.7454545454545465</v>
      </c>
      <c r="E9" s="40">
        <v>8.8181818181818183</v>
      </c>
    </row>
    <row r="10" spans="1:5" x14ac:dyDescent="0.3">
      <c r="A10" s="9" t="s">
        <v>382</v>
      </c>
      <c r="B10" s="39">
        <v>3</v>
      </c>
      <c r="C10" s="43">
        <v>86027</v>
      </c>
      <c r="D10" s="40">
        <v>4.1000000000000005</v>
      </c>
      <c r="E10" s="40">
        <v>7</v>
      </c>
    </row>
    <row r="11" spans="1:5" x14ac:dyDescent="0.3">
      <c r="A11" s="9" t="s">
        <v>448</v>
      </c>
      <c r="B11" s="39">
        <v>151</v>
      </c>
      <c r="C11" s="43">
        <v>71530.569536423835</v>
      </c>
      <c r="D11" s="40">
        <v>3.747019867549668</v>
      </c>
      <c r="E11" s="40">
        <v>7.6821192052980134</v>
      </c>
    </row>
    <row r="13" spans="1:5" ht="17.399999999999999" x14ac:dyDescent="0.3">
      <c r="A13" s="42" t="s">
        <v>435</v>
      </c>
      <c r="B13" s="30"/>
      <c r="C13" s="30"/>
      <c r="D13" s="30"/>
      <c r="E13" s="30"/>
    </row>
    <row r="14" spans="1:5" x14ac:dyDescent="0.3">
      <c r="A14" s="41" t="s">
        <v>442</v>
      </c>
      <c r="B14" s="41" t="s">
        <v>449</v>
      </c>
      <c r="C14" s="41" t="s">
        <v>444</v>
      </c>
    </row>
    <row r="15" spans="1:5" x14ac:dyDescent="0.3">
      <c r="A15" s="9" t="s">
        <v>64</v>
      </c>
      <c r="B15" s="39">
        <v>23</v>
      </c>
      <c r="C15" s="43">
        <v>73391.521739130432</v>
      </c>
    </row>
    <row r="16" spans="1:5" x14ac:dyDescent="0.3">
      <c r="A16" s="9" t="s">
        <v>84</v>
      </c>
      <c r="B16" s="39">
        <v>38</v>
      </c>
      <c r="C16" s="43">
        <v>67565.078947368427</v>
      </c>
    </row>
    <row r="17" spans="1:5" x14ac:dyDescent="0.3">
      <c r="A17" s="9" t="s">
        <v>77</v>
      </c>
      <c r="B17" s="39">
        <v>28</v>
      </c>
      <c r="C17" s="43">
        <v>76490.25</v>
      </c>
    </row>
    <row r="18" spans="1:5" x14ac:dyDescent="0.3">
      <c r="A18" s="9" t="s">
        <v>68</v>
      </c>
      <c r="B18" s="39">
        <v>18</v>
      </c>
      <c r="C18" s="43">
        <v>69996</v>
      </c>
    </row>
    <row r="19" spans="1:5" x14ac:dyDescent="0.3">
      <c r="A19" s="9" t="s">
        <v>54</v>
      </c>
      <c r="B19" s="39">
        <v>40</v>
      </c>
      <c r="C19" s="43">
        <v>71892.45</v>
      </c>
    </row>
    <row r="20" spans="1:5" x14ac:dyDescent="0.3">
      <c r="A20" s="9" t="s">
        <v>382</v>
      </c>
      <c r="B20" s="39">
        <v>4</v>
      </c>
      <c r="C20" s="43">
        <v>67071.25</v>
      </c>
    </row>
    <row r="21" spans="1:5" x14ac:dyDescent="0.3">
      <c r="A21" s="9" t="s">
        <v>443</v>
      </c>
      <c r="B21" s="39">
        <v>151</v>
      </c>
      <c r="C21" s="43">
        <v>71530.569536423835</v>
      </c>
    </row>
    <row r="23" spans="1:5" ht="17.399999999999999" x14ac:dyDescent="0.3">
      <c r="A23" s="42" t="s">
        <v>436</v>
      </c>
      <c r="B23" s="30"/>
      <c r="C23" s="30"/>
      <c r="D23" s="30"/>
      <c r="E23" s="30"/>
    </row>
    <row r="24" spans="1:5" x14ac:dyDescent="0.3">
      <c r="A24" s="38" t="s">
        <v>442</v>
      </c>
      <c r="B24" t="s">
        <v>449</v>
      </c>
      <c r="C24" t="s">
        <v>444</v>
      </c>
    </row>
    <row r="25" spans="1:5" x14ac:dyDescent="0.3">
      <c r="A25" s="9" t="s">
        <v>450</v>
      </c>
      <c r="B25" s="39">
        <v>32</v>
      </c>
      <c r="C25" s="43">
        <v>75084.25</v>
      </c>
    </row>
    <row r="26" spans="1:5" x14ac:dyDescent="0.3">
      <c r="A26" s="9" t="s">
        <v>451</v>
      </c>
      <c r="B26" s="39">
        <v>58</v>
      </c>
      <c r="C26" s="43">
        <v>67148.81034482758</v>
      </c>
    </row>
    <row r="27" spans="1:5" x14ac:dyDescent="0.3">
      <c r="A27" s="9" t="s">
        <v>452</v>
      </c>
      <c r="B27" s="39">
        <v>61</v>
      </c>
      <c r="C27" s="43">
        <v>73832.606557377047</v>
      </c>
    </row>
    <row r="28" spans="1:5" x14ac:dyDescent="0.3">
      <c r="A28" s="9" t="s">
        <v>443</v>
      </c>
      <c r="B28" s="39">
        <v>151</v>
      </c>
      <c r="C28" s="43">
        <v>71530.569536423835</v>
      </c>
    </row>
  </sheetData>
  <mergeCells count="3">
    <mergeCell ref="A1:E1"/>
    <mergeCell ref="A13:E13"/>
    <mergeCell ref="A23:E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44"/>
  <sheetViews>
    <sheetView tabSelected="1" topLeftCell="A42" zoomScaleNormal="100" workbookViewId="0">
      <selection activeCell="H11" sqref="H11"/>
    </sheetView>
  </sheetViews>
  <sheetFormatPr defaultColWidth="8.6640625" defaultRowHeight="14.4" x14ac:dyDescent="0.3"/>
  <cols>
    <col min="2" max="9" width="14" customWidth="1"/>
  </cols>
  <sheetData>
    <row r="2" spans="2:9" ht="30" customHeight="1" x14ac:dyDescent="0.3">
      <c r="B2" s="34" t="s">
        <v>437</v>
      </c>
      <c r="C2" s="34"/>
      <c r="D2" s="34"/>
      <c r="E2" s="34"/>
      <c r="F2" s="34"/>
      <c r="G2" s="34"/>
      <c r="H2" s="34"/>
      <c r="I2" s="34"/>
    </row>
    <row r="3" spans="2:9" ht="19.5" customHeight="1" x14ac:dyDescent="0.3">
      <c r="B3" s="34"/>
      <c r="C3" s="34"/>
      <c r="D3" s="34"/>
      <c r="E3" s="34"/>
      <c r="F3" s="34"/>
      <c r="G3" s="34"/>
      <c r="H3" s="34"/>
      <c r="I3" s="34"/>
    </row>
    <row r="5" spans="2:9" ht="15" customHeight="1" x14ac:dyDescent="0.3">
      <c r="B5" s="31" t="s">
        <v>388</v>
      </c>
      <c r="C5" s="31"/>
      <c r="D5" s="31"/>
      <c r="E5" s="31"/>
      <c r="F5" s="31" t="s">
        <v>392</v>
      </c>
      <c r="G5" s="31"/>
      <c r="H5" s="31"/>
      <c r="I5" s="31"/>
    </row>
    <row r="6" spans="2:9" ht="19.5" customHeight="1" x14ac:dyDescent="0.3">
      <c r="B6" s="35">
        <f>(Analysis!B5)</f>
        <v>151</v>
      </c>
      <c r="C6" s="35"/>
      <c r="D6" s="35"/>
      <c r="E6" s="35"/>
      <c r="F6" s="36">
        <f>(Analysis!B8)</f>
        <v>0.14569536423841059</v>
      </c>
      <c r="G6" s="36"/>
      <c r="H6" s="36"/>
      <c r="I6" s="36"/>
    </row>
    <row r="7" spans="2:9" x14ac:dyDescent="0.3">
      <c r="B7" s="4"/>
    </row>
    <row r="8" spans="2:9" ht="15" customHeight="1" x14ac:dyDescent="0.3">
      <c r="B8" s="31" t="s">
        <v>438</v>
      </c>
      <c r="C8" s="31"/>
      <c r="D8" s="31"/>
      <c r="E8" s="31"/>
      <c r="F8" s="31" t="s">
        <v>439</v>
      </c>
      <c r="G8" s="31"/>
      <c r="H8" s="31"/>
      <c r="I8" s="31"/>
    </row>
    <row r="9" spans="2:9" ht="19.5" customHeight="1" x14ac:dyDescent="0.3">
      <c r="B9" s="32">
        <f>(Analysis!B9)</f>
        <v>71530.569536423835</v>
      </c>
      <c r="C9" s="32"/>
      <c r="D9" s="32"/>
      <c r="E9" s="32"/>
      <c r="F9" s="33">
        <f>(Analysis!B14)</f>
        <v>3.7470198675496693</v>
      </c>
      <c r="G9" s="33"/>
      <c r="H9" s="33"/>
      <c r="I9" s="33"/>
    </row>
    <row r="12" spans="2:9" ht="15" customHeight="1" x14ac:dyDescent="0.3">
      <c r="B12" s="1" t="s">
        <v>12</v>
      </c>
      <c r="C12" s="1" t="s">
        <v>440</v>
      </c>
      <c r="D12" s="1" t="s">
        <v>438</v>
      </c>
    </row>
    <row r="13" spans="2:9" ht="15" customHeight="1" x14ac:dyDescent="0.3">
      <c r="B13" s="10" t="s">
        <v>90</v>
      </c>
      <c r="C13" s="10">
        <f>COUNTIF('Clean Data'!C2:C152,"Sales")</f>
        <v>22</v>
      </c>
      <c r="D13" s="11">
        <f>AVERAGEIF('Clean Data'!C2:C152,"Sales",'Clean Data'!I2:I152)</f>
        <v>84279.136363636368</v>
      </c>
    </row>
    <row r="14" spans="2:9" ht="15" customHeight="1" x14ac:dyDescent="0.3">
      <c r="B14" s="8" t="s">
        <v>67</v>
      </c>
      <c r="C14" s="8">
        <f>COUNTIF('Clean Data'!C2:C152,"Marketing")</f>
        <v>15</v>
      </c>
      <c r="D14" s="12">
        <f>AVERAGEIF('Clean Data'!C2:C152,"Marketing",'Clean Data'!I2:I152)</f>
        <v>90822.333333333328</v>
      </c>
    </row>
    <row r="15" spans="2:9" ht="15" customHeight="1" x14ac:dyDescent="0.3">
      <c r="B15" s="13" t="s">
        <v>75</v>
      </c>
      <c r="C15" s="13">
        <f>COUNTIF('Clean Data'!C2:C152,"IT")</f>
        <v>21</v>
      </c>
      <c r="D15" s="14">
        <f>AVERAGEIF('Clean Data'!C2:C152,"IT",'Clean Data'!I2:I152)</f>
        <v>69426.71428571429</v>
      </c>
    </row>
    <row r="16" spans="2:9" ht="15" customHeight="1" x14ac:dyDescent="0.3">
      <c r="B16" s="15" t="s">
        <v>79</v>
      </c>
      <c r="C16" s="15">
        <f>COUNTIF('Clean Data'!C2:C152,"HR")</f>
        <v>27</v>
      </c>
      <c r="D16" s="16">
        <f>AVERAGEIF('Clean Data'!C2:C152,"HR",'Clean Data'!I2:I152)</f>
        <v>63286.555555555555</v>
      </c>
    </row>
    <row r="17" spans="2:4" ht="15" customHeight="1" x14ac:dyDescent="0.3">
      <c r="B17" s="17" t="s">
        <v>58</v>
      </c>
      <c r="C17" s="17">
        <f>COUNTIF('Clean Data'!C2:C152,"Finance")</f>
        <v>22</v>
      </c>
      <c r="D17" s="18">
        <f>AVERAGEIF('Clean Data'!C2:C152,"Finance",'Clean Data'!I2:I152)</f>
        <v>73125.272727272721</v>
      </c>
    </row>
    <row r="18" spans="2:4" ht="15" customHeight="1" x14ac:dyDescent="0.3">
      <c r="B18" s="19" t="s">
        <v>52</v>
      </c>
      <c r="C18" s="19">
        <f>COUNTIF('Clean Data'!C2:C152,"Operations")</f>
        <v>19</v>
      </c>
      <c r="D18" s="20">
        <f>AVERAGEIF('Clean Data'!C2:C152,"Operations",'Clean Data'!I2:I152)</f>
        <v>68661.210526315786</v>
      </c>
    </row>
    <row r="19" spans="2:4" ht="15" customHeight="1" x14ac:dyDescent="0.3">
      <c r="B19" s="21" t="s">
        <v>96</v>
      </c>
      <c r="C19" s="21">
        <f>COUNTIF('Clean Data'!C2:C152,"Customer Service")</f>
        <v>22</v>
      </c>
      <c r="D19" s="22">
        <f>AVERAGEIF('Clean Data'!C2:C152,"Customer Service",'Clean Data'!I2:I152)</f>
        <v>56661</v>
      </c>
    </row>
    <row r="40" spans="2:3" ht="15" customHeight="1" x14ac:dyDescent="0.3"/>
    <row r="41" spans="2:3" ht="15" customHeight="1" x14ac:dyDescent="0.3"/>
    <row r="42" spans="2:3" ht="15" customHeight="1" x14ac:dyDescent="0.3">
      <c r="B42" s="1" t="s">
        <v>18</v>
      </c>
      <c r="C42" s="1" t="s">
        <v>441</v>
      </c>
    </row>
    <row r="43" spans="2:3" x14ac:dyDescent="0.3">
      <c r="B43" s="7" t="s">
        <v>55</v>
      </c>
      <c r="C43" s="7">
        <f>COUNTIF('Clean Data'!F2:F152,"Male")</f>
        <v>76</v>
      </c>
    </row>
    <row r="44" spans="2:3" x14ac:dyDescent="0.3">
      <c r="B44" s="8" t="s">
        <v>60</v>
      </c>
      <c r="C44" s="8">
        <f>COUNTIF('Clean Data'!F2:F152,"Female")</f>
        <v>73</v>
      </c>
    </row>
  </sheetData>
  <mergeCells count="9">
    <mergeCell ref="B8:E8"/>
    <mergeCell ref="F8:I8"/>
    <mergeCell ref="B9:E9"/>
    <mergeCell ref="F9:I9"/>
    <mergeCell ref="B2:I3"/>
    <mergeCell ref="B5:E5"/>
    <mergeCell ref="F5:I5"/>
    <mergeCell ref="B6:E6"/>
    <mergeCell ref="F6:I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Overview</vt:lpstr>
      <vt:lpstr>Raw Data</vt:lpstr>
      <vt:lpstr>Clean Data</vt:lpstr>
      <vt:lpstr>Analysis</vt:lpstr>
      <vt:lpstr>Pivot_Analysis</vt:lpstr>
      <vt:lpstr>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MARYAM JEHAD MOUSA HASONEH</cp:lastModifiedBy>
  <cp:revision>4</cp:revision>
  <dcterms:created xsi:type="dcterms:W3CDTF">2025-10-29T07:34:11Z</dcterms:created>
  <dcterms:modified xsi:type="dcterms:W3CDTF">2025-11-17T20:47:07Z</dcterms:modified>
  <cp:category/>
  <cp:contentStatus/>
</cp:coreProperties>
</file>